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youssouf\Desktop\Presentation CreditMetrics - Gestion de Risques Bancaires\"/>
    </mc:Choice>
  </mc:AlternateContent>
  <bookViews>
    <workbookView xWindow="0" yWindow="0" windowWidth="20490" windowHeight="7620"/>
  </bookViews>
  <sheets>
    <sheet name="1_Portefeuille" sheetId="1" r:id="rId1"/>
    <sheet name="2_Portefeuille" sheetId="3" r:id="rId2"/>
  </sheets>
  <functionGroups builtInGroupCount="18"/>
  <definedNames>
    <definedName name="_xlnm._FilterDatabase" localSheetId="0" hidden="1">'1_Portefeuille'!$B$8:$C$12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3" i="1" l="1"/>
  <c r="F87" i="3"/>
  <c r="F89" i="3"/>
  <c r="G85" i="3"/>
  <c r="G74" i="3"/>
  <c r="H22" i="3"/>
  <c r="G40" i="3" l="1"/>
  <c r="G55" i="3"/>
  <c r="G76" i="3" l="1"/>
  <c r="H76" i="3"/>
  <c r="I76" i="3"/>
  <c r="J76" i="3"/>
  <c r="K76" i="3"/>
  <c r="L76" i="3"/>
  <c r="M76" i="3"/>
  <c r="N76" i="3"/>
  <c r="G77" i="3"/>
  <c r="H77" i="3"/>
  <c r="I77" i="3"/>
  <c r="J77" i="3"/>
  <c r="K77" i="3"/>
  <c r="L77" i="3"/>
  <c r="M77" i="3"/>
  <c r="N77" i="3"/>
  <c r="G78" i="3"/>
  <c r="H78" i="3"/>
  <c r="I78" i="3"/>
  <c r="J78" i="3"/>
  <c r="K78" i="3"/>
  <c r="L78" i="3"/>
  <c r="M78" i="3"/>
  <c r="N78" i="3"/>
  <c r="G79" i="3"/>
  <c r="H79" i="3"/>
  <c r="I79" i="3"/>
  <c r="J79" i="3"/>
  <c r="K79" i="3"/>
  <c r="L79" i="3"/>
  <c r="M79" i="3"/>
  <c r="N79" i="3"/>
  <c r="G80" i="3"/>
  <c r="H80" i="3"/>
  <c r="I80" i="3"/>
  <c r="J80" i="3"/>
  <c r="K80" i="3"/>
  <c r="L80" i="3"/>
  <c r="M80" i="3"/>
  <c r="N80" i="3"/>
  <c r="G81" i="3"/>
  <c r="H81" i="3"/>
  <c r="I81" i="3"/>
  <c r="J81" i="3"/>
  <c r="K81" i="3"/>
  <c r="L81" i="3"/>
  <c r="M81" i="3"/>
  <c r="N81" i="3"/>
  <c r="G82" i="3"/>
  <c r="H82" i="3"/>
  <c r="I82" i="3"/>
  <c r="J82" i="3"/>
  <c r="K82" i="3"/>
  <c r="L82" i="3"/>
  <c r="M82" i="3"/>
  <c r="N82" i="3"/>
  <c r="H75" i="3"/>
  <c r="I75" i="3"/>
  <c r="J75" i="3"/>
  <c r="K75" i="3"/>
  <c r="L75" i="3"/>
  <c r="M75" i="3"/>
  <c r="N75" i="3"/>
  <c r="G75" i="3"/>
  <c r="H74" i="3"/>
  <c r="I74" i="3"/>
  <c r="J74" i="3"/>
  <c r="K74" i="3"/>
  <c r="L74" i="3"/>
  <c r="M74" i="3"/>
  <c r="N74" i="3"/>
  <c r="W23" i="3"/>
  <c r="V23" i="3"/>
  <c r="U23" i="3"/>
  <c r="T23" i="3"/>
  <c r="S23" i="3"/>
  <c r="R23" i="3"/>
  <c r="Q23" i="3"/>
  <c r="X23" i="3"/>
  <c r="F34" i="1"/>
  <c r="R22" i="3"/>
  <c r="S22" i="3"/>
  <c r="T22" i="3"/>
  <c r="U22" i="3"/>
  <c r="V22" i="3"/>
  <c r="W22" i="3"/>
  <c r="X22" i="3"/>
  <c r="Q22" i="3"/>
  <c r="T19" i="3"/>
  <c r="F33" i="1"/>
  <c r="F82" i="3"/>
  <c r="F81" i="3"/>
  <c r="F80" i="3"/>
  <c r="F79" i="3"/>
  <c r="F78" i="3"/>
  <c r="F77" i="3"/>
  <c r="F76" i="3"/>
  <c r="F75" i="3"/>
  <c r="G72" i="3"/>
  <c r="E72" i="3"/>
  <c r="E57" i="3"/>
  <c r="G57" i="3"/>
  <c r="H59" i="3"/>
  <c r="I59" i="3"/>
  <c r="J59" i="3"/>
  <c r="K59" i="3"/>
  <c r="L59" i="3"/>
  <c r="M59" i="3"/>
  <c r="N59" i="3"/>
  <c r="G59" i="3"/>
  <c r="H36" i="3"/>
  <c r="F61" i="3"/>
  <c r="F62" i="3"/>
  <c r="F63" i="3"/>
  <c r="F64" i="3"/>
  <c r="F65" i="3"/>
  <c r="F66" i="3"/>
  <c r="F67" i="3"/>
  <c r="F60" i="3"/>
  <c r="F48" i="3"/>
  <c r="G48" i="3"/>
  <c r="G37" i="3" l="1"/>
  <c r="I32" i="3"/>
  <c r="L30" i="3"/>
  <c r="G34" i="3"/>
  <c r="J20" i="3"/>
  <c r="E34" i="3"/>
  <c r="E20" i="3"/>
  <c r="L22" i="3" l="1"/>
  <c r="M22" i="3" s="1"/>
  <c r="L21" i="3"/>
  <c r="G22" i="3"/>
  <c r="F38" i="3" s="1"/>
  <c r="G21" i="3"/>
  <c r="M43" i="1"/>
  <c r="M35" i="1"/>
  <c r="K37" i="1"/>
  <c r="J37" i="1" s="1"/>
  <c r="I37" i="1" s="1"/>
  <c r="H37" i="1" s="1"/>
  <c r="G37" i="1" s="1"/>
  <c r="F37" i="1" s="1"/>
  <c r="L37" i="1"/>
  <c r="M37" i="1"/>
  <c r="J41" i="1"/>
  <c r="H49" i="3"/>
  <c r="H48" i="3"/>
  <c r="G49" i="3"/>
  <c r="H37" i="3" l="1"/>
  <c r="H38" i="3"/>
  <c r="F49" i="3"/>
  <c r="G38" i="3"/>
  <c r="G23" i="3"/>
  <c r="L23" i="3"/>
  <c r="M36" i="1"/>
  <c r="G35" i="1"/>
  <c r="H35" i="1"/>
  <c r="I35" i="1"/>
  <c r="J35" i="1"/>
  <c r="K35" i="1"/>
  <c r="L35" i="1"/>
  <c r="F35" i="1"/>
  <c r="M34" i="1"/>
  <c r="L34" i="1"/>
  <c r="K34" i="1"/>
  <c r="J34" i="1"/>
  <c r="I34" i="1"/>
  <c r="H34" i="1"/>
  <c r="J39" i="1" s="1"/>
  <c r="G34" i="1"/>
  <c r="I30" i="1"/>
  <c r="G33" i="1"/>
  <c r="H33" i="1"/>
  <c r="I33" i="1"/>
  <c r="J33" i="1"/>
  <c r="K33" i="1"/>
  <c r="L33" i="1"/>
  <c r="M33" i="1"/>
  <c r="G24" i="3" l="1"/>
  <c r="H23" i="3"/>
  <c r="F39" i="3" s="1"/>
  <c r="M23" i="3"/>
  <c r="I36" i="3" s="1"/>
  <c r="L24" i="3"/>
  <c r="I49" i="3"/>
  <c r="H50" i="3"/>
  <c r="G50" i="3"/>
  <c r="I48" i="3"/>
  <c r="I50" i="3"/>
  <c r="F50" i="3" l="1"/>
  <c r="G39" i="3"/>
  <c r="H39" i="3"/>
  <c r="I38" i="3"/>
  <c r="I37" i="3"/>
  <c r="I39" i="3"/>
  <c r="G25" i="3"/>
  <c r="H24" i="3"/>
  <c r="F40" i="3" s="1"/>
  <c r="M24" i="3"/>
  <c r="J36" i="3" s="1"/>
  <c r="L25" i="3"/>
  <c r="J51" i="3"/>
  <c r="I51" i="3"/>
  <c r="J50" i="3"/>
  <c r="J48" i="3"/>
  <c r="H51" i="3"/>
  <c r="G51" i="3"/>
  <c r="J49" i="3"/>
  <c r="J39" i="3" l="1"/>
  <c r="J40" i="3"/>
  <c r="J38" i="3"/>
  <c r="J37" i="3"/>
  <c r="G26" i="3"/>
  <c r="H25" i="3"/>
  <c r="F41" i="3" s="1"/>
  <c r="F51" i="3"/>
  <c r="H40" i="3"/>
  <c r="I40" i="3"/>
  <c r="M25" i="3"/>
  <c r="K36" i="3" s="1"/>
  <c r="L26" i="3"/>
  <c r="H52" i="3"/>
  <c r="I52" i="3"/>
  <c r="K51" i="3"/>
  <c r="K49" i="3"/>
  <c r="J52" i="3"/>
  <c r="K52" i="3"/>
  <c r="G52" i="3"/>
  <c r="K50" i="3"/>
  <c r="K48" i="3"/>
  <c r="K38" i="3" l="1"/>
  <c r="K41" i="3"/>
  <c r="K37" i="3"/>
  <c r="K39" i="3"/>
  <c r="K40" i="3"/>
  <c r="F52" i="3"/>
  <c r="G41" i="3"/>
  <c r="H41" i="3"/>
  <c r="I41" i="3"/>
  <c r="J41" i="3"/>
  <c r="G27" i="3"/>
  <c r="H26" i="3"/>
  <c r="F42" i="3" s="1"/>
  <c r="M26" i="3"/>
  <c r="L36" i="3" s="1"/>
  <c r="L27" i="3"/>
  <c r="L53" i="3"/>
  <c r="H53" i="3"/>
  <c r="I53" i="3"/>
  <c r="L52" i="3"/>
  <c r="L50" i="3"/>
  <c r="L48" i="3"/>
  <c r="J53" i="3"/>
  <c r="K53" i="3"/>
  <c r="G53" i="3"/>
  <c r="L51" i="3"/>
  <c r="L49" i="3"/>
  <c r="G28" i="3" l="1"/>
  <c r="H28" i="3" s="1"/>
  <c r="F44" i="3" s="1"/>
  <c r="H27" i="3"/>
  <c r="F43" i="3" s="1"/>
  <c r="L39" i="3"/>
  <c r="L40" i="3"/>
  <c r="L38" i="3"/>
  <c r="L41" i="3"/>
  <c r="L42" i="3"/>
  <c r="L43" i="3"/>
  <c r="L44" i="3"/>
  <c r="L37" i="3"/>
  <c r="F53" i="3"/>
  <c r="G42" i="3"/>
  <c r="H42" i="3"/>
  <c r="I42" i="3"/>
  <c r="J42" i="3"/>
  <c r="K42" i="3"/>
  <c r="M27" i="3"/>
  <c r="M36" i="3" s="1"/>
  <c r="L28" i="3"/>
  <c r="M28" i="3" s="1"/>
  <c r="N36" i="3" s="1"/>
  <c r="N55" i="3"/>
  <c r="J55" i="3"/>
  <c r="M55" i="3"/>
  <c r="I55" i="3"/>
  <c r="N52" i="3"/>
  <c r="N50" i="3"/>
  <c r="N48" i="3"/>
  <c r="L54" i="3"/>
  <c r="H54" i="3"/>
  <c r="K54" i="3"/>
  <c r="G54" i="3"/>
  <c r="M52" i="3"/>
  <c r="M50" i="3"/>
  <c r="M48" i="3"/>
  <c r="L55" i="3"/>
  <c r="H55" i="3"/>
  <c r="K55" i="3"/>
  <c r="N53" i="3"/>
  <c r="N51" i="3"/>
  <c r="N49" i="3"/>
  <c r="N54" i="3"/>
  <c r="J54" i="3"/>
  <c r="M54" i="3"/>
  <c r="I54" i="3"/>
  <c r="M53" i="3"/>
  <c r="M51" i="3"/>
  <c r="M49" i="3"/>
  <c r="N67" i="3" l="1"/>
  <c r="N66" i="3" s="1"/>
  <c r="N65" i="3" s="1"/>
  <c r="N64" i="3" s="1"/>
  <c r="N63" i="3" s="1"/>
  <c r="N62" i="3" s="1"/>
  <c r="N61" i="3" s="1"/>
  <c r="N60" i="3" s="1"/>
  <c r="N85" i="3" s="1"/>
  <c r="M38" i="3"/>
  <c r="M41" i="3"/>
  <c r="M42" i="3"/>
  <c r="M43" i="3"/>
  <c r="M44" i="3"/>
  <c r="M37" i="3"/>
  <c r="M39" i="3"/>
  <c r="M40" i="3"/>
  <c r="F54" i="3"/>
  <c r="G43" i="3"/>
  <c r="H43" i="3"/>
  <c r="I43" i="3"/>
  <c r="J43" i="3"/>
  <c r="K43" i="3"/>
  <c r="N39" i="3"/>
  <c r="N40" i="3"/>
  <c r="N38" i="3"/>
  <c r="N41" i="3"/>
  <c r="N42" i="3"/>
  <c r="N43" i="3"/>
  <c r="N44" i="3"/>
  <c r="N37" i="3"/>
  <c r="F55" i="3"/>
  <c r="G44" i="3"/>
  <c r="H44" i="3"/>
  <c r="I44" i="3"/>
  <c r="J44" i="3"/>
  <c r="K44" i="3"/>
  <c r="M67" i="3" l="1"/>
  <c r="M66" i="3" l="1"/>
  <c r="M65" i="3" s="1"/>
  <c r="M64" i="3" s="1"/>
  <c r="M63" i="3" s="1"/>
  <c r="M62" i="3" s="1"/>
  <c r="M61" i="3" s="1"/>
  <c r="M60" i="3" s="1"/>
  <c r="M85" i="3" s="1"/>
  <c r="L67" i="3"/>
  <c r="L66" i="3" l="1"/>
  <c r="L65" i="3" s="1"/>
  <c r="L64" i="3" s="1"/>
  <c r="L63" i="3" s="1"/>
  <c r="L62" i="3" s="1"/>
  <c r="L61" i="3" s="1"/>
  <c r="L60" i="3" s="1"/>
  <c r="L85" i="3" s="1"/>
  <c r="K67" i="3"/>
  <c r="K66" i="3" l="1"/>
  <c r="K65" i="3" s="1"/>
  <c r="K64" i="3" s="1"/>
  <c r="K63" i="3" s="1"/>
  <c r="K62" i="3" s="1"/>
  <c r="K61" i="3" s="1"/>
  <c r="K60" i="3" s="1"/>
  <c r="K85" i="3" s="1"/>
  <c r="J67" i="3"/>
  <c r="I67" i="3" l="1"/>
  <c r="J66" i="3"/>
  <c r="J65" i="3" s="1"/>
  <c r="J64" i="3" s="1"/>
  <c r="J63" i="3" s="1"/>
  <c r="J62" i="3" s="1"/>
  <c r="J61" i="3" s="1"/>
  <c r="J60" i="3" s="1"/>
  <c r="J85" i="3" s="1"/>
  <c r="H67" i="3" l="1"/>
  <c r="I66" i="3"/>
  <c r="I65" i="3" s="1"/>
  <c r="I64" i="3" s="1"/>
  <c r="I63" i="3" s="1"/>
  <c r="I62" i="3" s="1"/>
  <c r="I61" i="3" s="1"/>
  <c r="I60" i="3" s="1"/>
  <c r="I85" i="3" s="1"/>
  <c r="G67" i="3" l="1"/>
  <c r="H66" i="3"/>
  <c r="H65" i="3" s="1"/>
  <c r="H64" i="3" s="1"/>
  <c r="H63" i="3" s="1"/>
  <c r="H62" i="3" s="1"/>
  <c r="G66" i="3" l="1"/>
  <c r="G65" i="3" s="1"/>
  <c r="G64" i="3" s="1"/>
  <c r="G63" i="3"/>
  <c r="G62" i="3" l="1"/>
  <c r="H61" i="3"/>
  <c r="H60" i="3" s="1"/>
  <c r="H85" i="3" s="1"/>
  <c r="G61" i="3" l="1"/>
  <c r="G60" i="3" s="1"/>
  <c r="F85" i="3" l="1"/>
  <c r="H87" i="3" l="1"/>
  <c r="J87" i="3"/>
  <c r="L87" i="3"/>
  <c r="N87" i="3"/>
  <c r="I87" i="3"/>
  <c r="K87" i="3"/>
  <c r="M87" i="3"/>
  <c r="G87" i="3"/>
  <c r="L89" i="3" s="1"/>
</calcChain>
</file>

<file path=xl/sharedStrings.xml><?xml version="1.0" encoding="utf-8"?>
<sst xmlns="http://schemas.openxmlformats.org/spreadsheetml/2006/main" count="216" uniqueCount="56">
  <si>
    <t>Information générale</t>
  </si>
  <si>
    <t>Valeur du portefeuille</t>
  </si>
  <si>
    <t>Notation initial</t>
  </si>
  <si>
    <t>Coupon(taux d'intérêt)</t>
  </si>
  <si>
    <t>Type de recouvrement</t>
  </si>
  <si>
    <t>AAA</t>
  </si>
  <si>
    <t>AA</t>
  </si>
  <si>
    <t>A</t>
  </si>
  <si>
    <t>BBB</t>
  </si>
  <si>
    <t>BB</t>
  </si>
  <si>
    <t>B</t>
  </si>
  <si>
    <t>CCC</t>
  </si>
  <si>
    <t>Default</t>
  </si>
  <si>
    <t>Notation</t>
  </si>
  <si>
    <t>intiale</t>
  </si>
  <si>
    <r>
      <rPr>
        <b/>
        <sz val="12"/>
        <color rgb="FFFF0000"/>
        <rFont val="Calibri"/>
        <family val="2"/>
        <scheme val="minor"/>
      </rPr>
      <t xml:space="preserve">Etape 1 :        </t>
    </r>
    <r>
      <rPr>
        <sz val="12"/>
        <color theme="1"/>
        <rFont val="Tahoma"/>
        <family val="2"/>
      </rPr>
      <t>Matrice de Migration des notations de crédit</t>
    </r>
  </si>
  <si>
    <t>Notation à 1 an(%)</t>
  </si>
  <si>
    <t>Matrice de transition à 1 an (S&amp;P 1996)</t>
  </si>
  <si>
    <r>
      <rPr>
        <b/>
        <sz val="12"/>
        <color rgb="FFFF0000"/>
        <rFont val="Calibri"/>
        <family val="2"/>
        <scheme val="minor"/>
      </rPr>
      <t xml:space="preserve">Etape 2 :        </t>
    </r>
    <r>
      <rPr>
        <sz val="12"/>
        <color theme="1"/>
        <rFont val="Tahoma"/>
        <family val="2"/>
      </rPr>
      <t>Matrice de Migration des notations de crédit</t>
    </r>
  </si>
  <si>
    <t>Exemple de courbes zéro à un an par agence de notation</t>
  </si>
  <si>
    <t>Maturité</t>
  </si>
  <si>
    <t>Classe d'ancienneté</t>
  </si>
  <si>
    <t>Senior secured</t>
  </si>
  <si>
    <t>Senior unsecured</t>
  </si>
  <si>
    <t>Senior subordinated</t>
  </si>
  <si>
    <t>Subordinated</t>
  </si>
  <si>
    <t>Junior subordinated</t>
  </si>
  <si>
    <t>Moyenne (%)</t>
  </si>
  <si>
    <t>ecart-type (%)</t>
  </si>
  <si>
    <t>Migration possible</t>
  </si>
  <si>
    <t>Probabilité</t>
  </si>
  <si>
    <t>Valeur d'obligation</t>
  </si>
  <si>
    <r>
      <t>m</t>
    </r>
    <r>
      <rPr>
        <sz val="11"/>
        <color theme="1"/>
        <rFont val="Arial"/>
        <family val="2"/>
      </rPr>
      <t xml:space="preserve">Total </t>
    </r>
    <r>
      <rPr>
        <sz val="11"/>
        <color theme="1"/>
        <rFont val="Symbol"/>
        <family val="1"/>
        <charset val="2"/>
      </rPr>
      <t xml:space="preserve">= S </t>
    </r>
    <r>
      <rPr>
        <sz val="11"/>
        <color theme="1"/>
        <rFont val="Arial"/>
        <family val="2"/>
      </rPr>
      <t>Probabilité</t>
    </r>
    <r>
      <rPr>
        <sz val="11"/>
        <color theme="1"/>
        <rFont val="Symbol"/>
        <family val="1"/>
        <charset val="2"/>
      </rPr>
      <t xml:space="preserve"> ´ </t>
    </r>
    <r>
      <rPr>
        <sz val="11"/>
        <color theme="1"/>
        <rFont val="Arial"/>
        <family val="2"/>
      </rPr>
      <t>Valeur d'obligation</t>
    </r>
  </si>
  <si>
    <t>Obligation 1</t>
  </si>
  <si>
    <t>Obligation 2</t>
  </si>
  <si>
    <r>
      <rPr>
        <sz val="11"/>
        <color theme="1"/>
        <rFont val="Arial"/>
        <family val="2"/>
      </rPr>
      <t xml:space="preserve">Variance  </t>
    </r>
    <r>
      <rPr>
        <sz val="11"/>
        <color theme="1"/>
        <rFont val="Symbol"/>
        <family val="1"/>
        <charset val="2"/>
      </rPr>
      <t xml:space="preserve">= S </t>
    </r>
    <r>
      <rPr>
        <sz val="11"/>
        <color theme="1"/>
        <rFont val="SimSun"/>
      </rPr>
      <t>Pri</t>
    </r>
    <r>
      <rPr>
        <sz val="11"/>
        <color theme="1"/>
        <rFont val="Symbol"/>
        <family val="1"/>
        <charset val="2"/>
      </rPr>
      <t xml:space="preserve"> (m</t>
    </r>
    <r>
      <rPr>
        <sz val="8"/>
        <color theme="1"/>
        <rFont val="Symbol"/>
        <family val="1"/>
        <charset val="2"/>
      </rPr>
      <t>i</t>
    </r>
    <r>
      <rPr>
        <sz val="11"/>
        <color theme="1"/>
        <rFont val="Symbol"/>
        <family val="1"/>
        <charset val="2"/>
      </rPr>
      <t>2+si2) - mT</t>
    </r>
    <r>
      <rPr>
        <sz val="11"/>
        <color theme="1"/>
        <rFont val="Arial"/>
        <family val="2"/>
      </rPr>
      <t>otal^2</t>
    </r>
  </si>
  <si>
    <t>Pourcentage</t>
  </si>
  <si>
    <t>VAR  =</t>
  </si>
  <si>
    <t>PREMIERE PERCENTILE</t>
  </si>
  <si>
    <r>
      <rPr>
        <b/>
        <sz val="12"/>
        <color rgb="FFFF0000"/>
        <rFont val="Calibri"/>
        <family val="2"/>
        <scheme val="minor"/>
      </rPr>
      <t xml:space="preserve">Etape 3 :      </t>
    </r>
    <r>
      <rPr>
        <sz val="12"/>
        <color theme="1"/>
        <rFont val="Tahoma"/>
        <family val="2"/>
      </rPr>
      <t>Calcul de la volatilité due au changement de qualité de crédit et calcul de VaR</t>
    </r>
  </si>
  <si>
    <t>Proba Migration</t>
  </si>
  <si>
    <t>Cumul</t>
  </si>
  <si>
    <t>Valeur</t>
  </si>
  <si>
    <r>
      <rPr>
        <b/>
        <sz val="12"/>
        <color rgb="FFFF0000"/>
        <rFont val="Calibri"/>
        <family val="2"/>
        <scheme val="minor"/>
      </rPr>
      <t xml:space="preserve">Etape 2 :        </t>
    </r>
    <r>
      <rPr>
        <b/>
        <sz val="12"/>
        <rFont val="Calibri"/>
        <family val="2"/>
        <scheme val="minor"/>
      </rPr>
      <t>P</t>
    </r>
    <r>
      <rPr>
        <sz val="12"/>
        <color theme="1"/>
        <rFont val="Tahoma"/>
        <family val="2"/>
      </rPr>
      <t>robabilité conjointe entre les deux obligations</t>
    </r>
  </si>
  <si>
    <t>Loi conjoint bivarié normal</t>
  </si>
  <si>
    <t>*** Si indépendance  ***</t>
  </si>
  <si>
    <t>*** Si non indépendance ***</t>
  </si>
  <si>
    <t>Corrélation</t>
  </si>
  <si>
    <t>Etape 2 :        Calculer la valeurs du portefeuilles et determiner la VaR</t>
  </si>
  <si>
    <t>Calculer des valeurs du portefeuille pour le deuxième obligation</t>
  </si>
  <si>
    <t>Moyenne Pf</t>
  </si>
  <si>
    <t>Variance Pf</t>
  </si>
  <si>
    <t>Ecart-type Pf</t>
  </si>
  <si>
    <t>Annexe</t>
  </si>
  <si>
    <t>Loi de Probablité Jointe (Bivarié Par Copula - John Hull)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</si>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</sst>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&quot;Annnée &quot;0"/>
    <numFmt numFmtId="165" formatCode="0.0%"/>
    <numFmt numFmtId="166" formatCode="_-* #,##0.00\ [$XOF]_-;\-* #,##0.00\ [$XOF]_-;_-* &quot;-&quot;??\ [$XOF]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1"/>
      <name val="Microsoft Tai Le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theme="1"/>
      <name val="Tahoma"/>
      <family val="2"/>
    </font>
    <font>
      <b/>
      <sz val="11"/>
      <color theme="4" tint="0.39997558519241921"/>
      <name val="Calibri"/>
      <family val="2"/>
      <scheme val="minor"/>
    </font>
    <font>
      <sz val="11"/>
      <name val="Arial"/>
      <family val="2"/>
    </font>
    <font>
      <sz val="10"/>
      <name val="Arial"/>
      <family val="2"/>
    </font>
    <font>
      <sz val="18"/>
      <color theme="1"/>
      <name val="Arial"/>
      <family val="2"/>
    </font>
    <font>
      <sz val="11"/>
      <color theme="1"/>
      <name val="Symbol"/>
      <family val="1"/>
      <charset val="2"/>
    </font>
    <font>
      <sz val="11"/>
      <color theme="1"/>
      <name val="Arial"/>
      <family val="2"/>
    </font>
    <font>
      <sz val="11"/>
      <color theme="1"/>
      <name val="SimSun"/>
    </font>
    <font>
      <sz val="8"/>
      <color theme="1"/>
      <name val="Symbol"/>
      <family val="1"/>
      <charset val="2"/>
    </font>
    <font>
      <b/>
      <sz val="10"/>
      <name val="Arial"/>
      <family val="2"/>
    </font>
    <font>
      <b/>
      <sz val="14"/>
      <color theme="4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6">
    <xf numFmtId="0" fontId="0" fillId="0" borderId="0" xfId="0"/>
    <xf numFmtId="0" fontId="3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0" borderId="5" xfId="0" applyFont="1" applyFill="1" applyBorder="1" applyAlignment="1" applyProtection="1">
      <alignment horizontal="right"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9" xfId="0" applyBorder="1"/>
    <xf numFmtId="0" fontId="6" fillId="0" borderId="0" xfId="0" applyFont="1"/>
    <xf numFmtId="49" fontId="8" fillId="2" borderId="0" xfId="0" applyNumberFormat="1" applyFont="1" applyFill="1"/>
    <xf numFmtId="49" fontId="8" fillId="3" borderId="0" xfId="0" applyNumberFormat="1" applyFont="1" applyFill="1"/>
    <xf numFmtId="0" fontId="0" fillId="3" borderId="0" xfId="0" applyFont="1" applyFill="1"/>
    <xf numFmtId="49" fontId="8" fillId="2" borderId="8" xfId="0" applyNumberFormat="1" applyFont="1" applyFill="1" applyBorder="1"/>
    <xf numFmtId="49" fontId="8" fillId="3" borderId="8" xfId="0" applyNumberFormat="1" applyFont="1" applyFill="1" applyBorder="1" applyAlignment="1">
      <alignment horizontal="right"/>
    </xf>
    <xf numFmtId="10" fontId="2" fillId="0" borderId="0" xfId="1" applyNumberFormat="1" applyFont="1"/>
    <xf numFmtId="10" fontId="1" fillId="0" borderId="0" xfId="1" applyNumberFormat="1" applyFont="1"/>
    <xf numFmtId="10" fontId="1" fillId="4" borderId="0" xfId="1" applyNumberFormat="1" applyFont="1" applyFill="1"/>
    <xf numFmtId="10" fontId="2" fillId="4" borderId="0" xfId="1" applyNumberFormat="1" applyFont="1" applyFill="1"/>
    <xf numFmtId="0" fontId="2" fillId="5" borderId="0" xfId="0" applyFont="1" applyFill="1"/>
    <xf numFmtId="0" fontId="0" fillId="5" borderId="0" xfId="0" applyFont="1" applyFill="1"/>
    <xf numFmtId="49" fontId="8" fillId="5" borderId="0" xfId="0" applyNumberFormat="1" applyFont="1" applyFill="1"/>
    <xf numFmtId="0" fontId="0" fillId="0" borderId="0" xfId="0" applyFont="1"/>
    <xf numFmtId="164" fontId="2" fillId="0" borderId="8" xfId="0" applyNumberFormat="1" applyFont="1" applyBorder="1"/>
    <xf numFmtId="49" fontId="10" fillId="0" borderId="8" xfId="0" applyNumberFormat="1" applyFont="1" applyBorder="1"/>
    <xf numFmtId="0" fontId="2" fillId="0" borderId="7" xfId="0" applyFont="1" applyBorder="1" applyAlignment="1">
      <alignment horizontal="right"/>
    </xf>
    <xf numFmtId="9" fontId="5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10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1" xfId="0" applyFont="1" applyBorder="1"/>
    <xf numFmtId="10" fontId="12" fillId="0" borderId="12" xfId="1" applyNumberFormat="1" applyFont="1" applyBorder="1"/>
    <xf numFmtId="0" fontId="12" fillId="0" borderId="7" xfId="0" applyFont="1" applyBorder="1"/>
    <xf numFmtId="10" fontId="12" fillId="0" borderId="13" xfId="1" applyNumberFormat="1" applyFont="1" applyBorder="1"/>
    <xf numFmtId="0" fontId="11" fillId="0" borderId="1" xfId="0" applyFont="1" applyBorder="1"/>
    <xf numFmtId="0" fontId="12" fillId="0" borderId="10" xfId="0" applyFont="1" applyBorder="1"/>
    <xf numFmtId="0" fontId="12" fillId="0" borderId="15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10" fontId="12" fillId="0" borderId="15" xfId="1" applyNumberFormat="1" applyFont="1" applyBorder="1" applyAlignment="1">
      <alignment horizontal="center"/>
    </xf>
    <xf numFmtId="10" fontId="12" fillId="0" borderId="16" xfId="1" applyNumberFormat="1" applyFont="1" applyBorder="1" applyAlignment="1">
      <alignment horizontal="center"/>
    </xf>
    <xf numFmtId="0" fontId="0" fillId="6" borderId="14" xfId="0" applyFill="1" applyBorder="1" applyAlignment="1">
      <alignment horizontal="center"/>
    </xf>
    <xf numFmtId="2" fontId="12" fillId="0" borderId="9" xfId="0" applyNumberFormat="1" applyFont="1" applyBorder="1" applyAlignment="1">
      <alignment horizontal="center"/>
    </xf>
    <xf numFmtId="2" fontId="12" fillId="0" borderId="8" xfId="0" applyNumberFormat="1" applyFont="1" applyBorder="1" applyAlignment="1">
      <alignment horizontal="center" vertical="center"/>
    </xf>
    <xf numFmtId="0" fontId="13" fillId="0" borderId="0" xfId="0" applyFont="1"/>
    <xf numFmtId="0" fontId="12" fillId="0" borderId="0" xfId="0" applyFont="1" applyBorder="1"/>
    <xf numFmtId="2" fontId="12" fillId="0" borderId="0" xfId="0" applyNumberFormat="1" applyFont="1" applyBorder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0" fontId="5" fillId="0" borderId="8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  <protection locked="0"/>
    </xf>
    <xf numFmtId="9" fontId="5" fillId="0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 applyProtection="1">
      <alignment horizontal="center" vertical="center"/>
      <protection locked="0"/>
    </xf>
    <xf numFmtId="2" fontId="18" fillId="7" borderId="10" xfId="0" applyNumberFormat="1" applyFont="1" applyFill="1" applyBorder="1"/>
    <xf numFmtId="9" fontId="5" fillId="0" borderId="18" xfId="0" applyNumberFormat="1" applyFont="1" applyFill="1" applyBorder="1" applyAlignment="1" applyProtection="1">
      <alignment horizontal="center" vertical="center"/>
      <protection locked="0"/>
    </xf>
    <xf numFmtId="0" fontId="19" fillId="8" borderId="14" xfId="0" applyFont="1" applyFill="1" applyBorder="1" applyAlignment="1">
      <alignment horizontal="center"/>
    </xf>
    <xf numFmtId="10" fontId="0" fillId="0" borderId="0" xfId="0" applyNumberFormat="1"/>
    <xf numFmtId="0" fontId="19" fillId="8" borderId="14" xfId="0" applyFont="1" applyFill="1" applyBorder="1" applyAlignment="1">
      <alignment horizontal="left"/>
    </xf>
    <xf numFmtId="2" fontId="0" fillId="0" borderId="14" xfId="0" applyNumberFormat="1" applyBorder="1" applyAlignment="1">
      <alignment horizontal="center"/>
    </xf>
    <xf numFmtId="0" fontId="14" fillId="0" borderId="17" xfId="0" applyFont="1" applyBorder="1"/>
    <xf numFmtId="0" fontId="0" fillId="0" borderId="19" xfId="0" applyBorder="1"/>
    <xf numFmtId="2" fontId="0" fillId="0" borderId="18" xfId="0" applyNumberFormat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/>
    </xf>
    <xf numFmtId="49" fontId="8" fillId="3" borderId="13" xfId="0" applyNumberFormat="1" applyFont="1" applyFill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0" fontId="1" fillId="4" borderId="13" xfId="1" applyNumberFormat="1" applyFont="1" applyFill="1" applyBorder="1" applyAlignment="1">
      <alignment horizontal="center" vertical="center"/>
    </xf>
    <xf numFmtId="10" fontId="0" fillId="4" borderId="13" xfId="0" applyNumberFormat="1" applyFill="1" applyBorder="1" applyAlignment="1">
      <alignment horizontal="center" vertical="center"/>
    </xf>
    <xf numFmtId="2" fontId="0" fillId="8" borderId="13" xfId="0" applyNumberFormat="1" applyFill="1" applyBorder="1" applyAlignment="1">
      <alignment horizontal="center" vertical="center"/>
    </xf>
    <xf numFmtId="10" fontId="1" fillId="4" borderId="1" xfId="1" applyNumberFormat="1" applyFont="1" applyFill="1" applyBorder="1" applyAlignment="1">
      <alignment horizontal="center" vertical="center"/>
    </xf>
    <xf numFmtId="10" fontId="0" fillId="4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0" fontId="2" fillId="4" borderId="1" xfId="1" applyNumberFormat="1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20" xfId="0" applyFont="1" applyBorder="1"/>
    <xf numFmtId="0" fontId="18" fillId="0" borderId="12" xfId="0" applyFont="1" applyBorder="1"/>
    <xf numFmtId="0" fontId="18" fillId="0" borderId="13" xfId="0" applyFont="1" applyFill="1" applyBorder="1"/>
    <xf numFmtId="10" fontId="12" fillId="0" borderId="1" xfId="0" applyNumberFormat="1" applyFont="1" applyBorder="1" applyAlignment="1">
      <alignment horizontal="center"/>
    </xf>
    <xf numFmtId="10" fontId="0" fillId="4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/>
    <xf numFmtId="2" fontId="12" fillId="0" borderId="2" xfId="1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2" fontId="12" fillId="0" borderId="20" xfId="1" applyNumberFormat="1" applyFont="1" applyBorder="1" applyAlignment="1">
      <alignment horizontal="center"/>
    </xf>
    <xf numFmtId="0" fontId="0" fillId="0" borderId="1" xfId="0" applyBorder="1"/>
    <xf numFmtId="10" fontId="0" fillId="0" borderId="1" xfId="1" applyNumberFormat="1" applyFont="1" applyBorder="1" applyAlignment="1">
      <alignment horizontal="center" vertical="center"/>
    </xf>
    <xf numFmtId="0" fontId="18" fillId="0" borderId="0" xfId="0" applyFont="1" applyFill="1" applyBorder="1"/>
    <xf numFmtId="0" fontId="0" fillId="0" borderId="0" xfId="0" applyBorder="1"/>
    <xf numFmtId="10" fontId="0" fillId="0" borderId="0" xfId="1" applyNumberFormat="1" applyFont="1" applyFill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0" fontId="0" fillId="0" borderId="1" xfId="0" applyNumberFormat="1" applyBorder="1"/>
    <xf numFmtId="165" fontId="0" fillId="0" borderId="1" xfId="0" applyNumberFormat="1" applyBorder="1"/>
    <xf numFmtId="10" fontId="12" fillId="0" borderId="1" xfId="0" applyNumberFormat="1" applyFont="1" applyBorder="1"/>
    <xf numFmtId="0" fontId="7" fillId="0" borderId="0" xfId="0" applyFont="1"/>
    <xf numFmtId="2" fontId="12" fillId="0" borderId="1" xfId="0" applyNumberFormat="1" applyFont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9" borderId="14" xfId="0" applyNumberFormat="1" applyFill="1" applyBorder="1" applyAlignment="1">
      <alignment horizontal="center" vertical="center"/>
    </xf>
    <xf numFmtId="0" fontId="18" fillId="8" borderId="14" xfId="0" applyFont="1" applyFill="1" applyBorder="1"/>
    <xf numFmtId="2" fontId="0" fillId="0" borderId="17" xfId="0" applyNumberFormat="1" applyBorder="1" applyAlignment="1">
      <alignment horizontal="center" vertical="center"/>
    </xf>
    <xf numFmtId="166" fontId="18" fillId="7" borderId="16" xfId="2" applyNumberFormat="1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horizontal="center" vertical="center"/>
    </xf>
    <xf numFmtId="10" fontId="2" fillId="0" borderId="16" xfId="1" applyNumberFormat="1" applyFont="1" applyBorder="1" applyAlignment="1">
      <alignment horizontal="center" vertical="center"/>
    </xf>
    <xf numFmtId="10" fontId="2" fillId="0" borderId="1" xfId="1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18" fillId="0" borderId="1" xfId="0" applyFont="1" applyBorder="1" applyAlignment="1">
      <alignment horizontal="center"/>
    </xf>
  </cellXfs>
  <cellStyles count="3">
    <cellStyle name="Monétaire" xfId="2" builtinId="4"/>
    <cellStyle name="Normal" xfId="0" builtinId="0"/>
    <cellStyle name="Pourcentage" xfId="1" builtinId="5"/>
  </cellStyles>
  <dxfs count="27"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Courbe de coupon-zero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'1_Portefeuille'!$F$21</c:f>
              <c:strCache>
                <c:ptCount val="1"/>
                <c:pt idx="0">
                  <c:v>AAA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'1_Portefeuille'!$H$20:$K$20</c:f>
              <c:numCache>
                <c:formatCode>"Annnée "0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'1_Portefeuille'!$H$21:$K$21</c:f>
              <c:numCache>
                <c:formatCode>0.00%</c:formatCode>
                <c:ptCount val="4"/>
                <c:pt idx="0">
                  <c:v>3.6000000000000004E-2</c:v>
                </c:pt>
                <c:pt idx="1">
                  <c:v>4.1700000000000001E-2</c:v>
                </c:pt>
                <c:pt idx="2">
                  <c:v>4.7300000000000002E-2</c:v>
                </c:pt>
                <c:pt idx="3">
                  <c:v>5.1200000000000002E-2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B7-405B-870A-8602262A2F25}"/>
            </c:ext>
          </c:extLst>
        </c:ser>
        <c:ser>
          <c:idx val="1"/>
          <c:order val="1"/>
          <c:tx>
            <c:strRef>
              <c:f>'1_Portefeuille'!$F$22</c:f>
              <c:strCache>
                <c:ptCount val="1"/>
                <c:pt idx="0">
                  <c:v>AA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'1_Portefeuille'!$H$20:$K$20</c:f>
              <c:numCache>
                <c:formatCode>"Annnée "0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'1_Portefeuille'!$H$22:$K$22</c:f>
              <c:numCache>
                <c:formatCode>0.00%</c:formatCode>
                <c:ptCount val="4"/>
                <c:pt idx="0">
                  <c:v>3.6499999999999998E-2</c:v>
                </c:pt>
                <c:pt idx="1">
                  <c:v>4.2199999999999994E-2</c:v>
                </c:pt>
                <c:pt idx="2">
                  <c:v>4.7800000000000002E-2</c:v>
                </c:pt>
                <c:pt idx="3">
                  <c:v>5.1699999999999996E-2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7-405B-870A-8602262A2F25}"/>
            </c:ext>
          </c:extLst>
        </c:ser>
        <c:ser>
          <c:idx val="2"/>
          <c:order val="2"/>
          <c:tx>
            <c:strRef>
              <c:f>'1_Portefeuille'!$F$23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'1_Portefeuille'!$H$20:$K$20</c:f>
              <c:numCache>
                <c:formatCode>"Annnée "0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'1_Portefeuille'!$H$23:$K$23</c:f>
              <c:numCache>
                <c:formatCode>0.00%</c:formatCode>
                <c:ptCount val="4"/>
                <c:pt idx="0">
                  <c:v>3.7200000000000004E-2</c:v>
                </c:pt>
                <c:pt idx="1">
                  <c:v>4.3200000000000002E-2</c:v>
                </c:pt>
                <c:pt idx="2">
                  <c:v>4.9299999999999997E-2</c:v>
                </c:pt>
                <c:pt idx="3">
                  <c:v>5.3200000000000004E-2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B7-405B-870A-8602262A2F25}"/>
            </c:ext>
          </c:extLst>
        </c:ser>
        <c:ser>
          <c:idx val="3"/>
          <c:order val="3"/>
          <c:tx>
            <c:strRef>
              <c:f>'1_Portefeuille'!$F$24</c:f>
              <c:strCache>
                <c:ptCount val="1"/>
                <c:pt idx="0">
                  <c:v>BBB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'1_Portefeuille'!$H$20:$K$20</c:f>
              <c:numCache>
                <c:formatCode>"Annnée "0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'1_Portefeuille'!$H$24:$K$24</c:f>
              <c:numCache>
                <c:formatCode>0.00%</c:formatCode>
                <c:ptCount val="4"/>
                <c:pt idx="0">
                  <c:v>4.0999999999999995E-2</c:v>
                </c:pt>
                <c:pt idx="1">
                  <c:v>4.6699999999999998E-2</c:v>
                </c:pt>
                <c:pt idx="2">
                  <c:v>5.2499999999999998E-2</c:v>
                </c:pt>
                <c:pt idx="3">
                  <c:v>5.6299999999999996E-2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B7-405B-870A-8602262A2F25}"/>
            </c:ext>
          </c:extLst>
        </c:ser>
        <c:ser>
          <c:idx val="4"/>
          <c:order val="4"/>
          <c:tx>
            <c:strRef>
              <c:f>'1_Portefeuille'!$F$25</c:f>
              <c:strCache>
                <c:ptCount val="1"/>
                <c:pt idx="0">
                  <c:v>BB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'1_Portefeuille'!$H$20:$K$20</c:f>
              <c:numCache>
                <c:formatCode>"Annnée "0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'1_Portefeuille'!$H$25:$K$25</c:f>
              <c:numCache>
                <c:formatCode>0.00%</c:formatCode>
                <c:ptCount val="4"/>
                <c:pt idx="0">
                  <c:v>5.5500000000000001E-2</c:v>
                </c:pt>
                <c:pt idx="1">
                  <c:v>6.0199999999999997E-2</c:v>
                </c:pt>
                <c:pt idx="2">
                  <c:v>6.7799999999999999E-2</c:v>
                </c:pt>
                <c:pt idx="3">
                  <c:v>7.2700000000000001E-2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B7-405B-870A-8602262A2F25}"/>
            </c:ext>
          </c:extLst>
        </c:ser>
        <c:ser>
          <c:idx val="5"/>
          <c:order val="5"/>
          <c:tx>
            <c:strRef>
              <c:f>'1_Portefeuille'!$F$26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'1_Portefeuille'!$H$20:$K$20</c:f>
              <c:numCache>
                <c:formatCode>"Annnée "0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'1_Portefeuille'!$H$26:$K$26</c:f>
              <c:numCache>
                <c:formatCode>0.00%</c:formatCode>
                <c:ptCount val="4"/>
                <c:pt idx="0">
                  <c:v>6.0499999999999998E-2</c:v>
                </c:pt>
                <c:pt idx="1">
                  <c:v>7.0199999999999999E-2</c:v>
                </c:pt>
                <c:pt idx="2">
                  <c:v>8.0299999999999996E-2</c:v>
                </c:pt>
                <c:pt idx="3">
                  <c:v>8.5199999999999998E-2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B7-405B-870A-8602262A2F25}"/>
            </c:ext>
          </c:extLst>
        </c:ser>
        <c:ser>
          <c:idx val="6"/>
          <c:order val="6"/>
          <c:tx>
            <c:strRef>
              <c:f>'1_Portefeuille'!$F$27</c:f>
              <c:strCache>
                <c:ptCount val="1"/>
                <c:pt idx="0">
                  <c:v>CCC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'1_Portefeuille'!$H$20:$K$20</c:f>
              <c:numCache>
                <c:formatCode>"Annnée "0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'1_Portefeuille'!$H$27:$K$27</c:f>
              <c:numCache>
                <c:formatCode>0.00%</c:formatCode>
                <c:ptCount val="4"/>
                <c:pt idx="0">
                  <c:v>0.15049999999999999</c:v>
                </c:pt>
                <c:pt idx="1">
                  <c:v>0.1502</c:v>
                </c:pt>
                <c:pt idx="2">
                  <c:v>0.14029999999999998</c:v>
                </c:pt>
                <c:pt idx="3">
                  <c:v>0.13519999999999999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B7-405B-870A-8602262A2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5717232"/>
        <c:axId val="375722224"/>
      </c:lineChart>
      <c:catAx>
        <c:axId val="375717232"/>
        <c:scaling>
          <c:orientation val="minMax"/>
        </c:scaling>
        <c:delete val="0"/>
        <c:axPos val="b"/>
        <c:numFmt formatCode="&quot;Annnée &quot;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5722224"/>
        <c:crosses val="autoZero"/>
        <c:auto val="1"/>
        <c:lblAlgn val="ctr"/>
        <c:lblOffset val="100"/>
        <c:noMultiLvlLbl val="0"/>
      </c:catAx>
      <c:valAx>
        <c:axId val="3757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571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57150</xdr:colOff>
      <xdr:row>3</xdr:row>
      <xdr:rowOff>182880</xdr:rowOff>
    </xdr:to>
    <xdr:sp macro="" textlink="">
      <xdr:nvSpPr>
        <xdr:cNvPr id="2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0" y="0"/>
          <a:ext cx="10725150" cy="75438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CreditMetrics</a:t>
          </a:r>
          <a:r>
            <a:rPr lang="en-GB" sz="4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Excel : Une obligation</a:t>
          </a:r>
          <a:endParaRPr lang="en-GB" sz="4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95250</xdr:colOff>
      <xdr:row>14</xdr:row>
      <xdr:rowOff>76200</xdr:rowOff>
    </xdr:from>
    <xdr:to>
      <xdr:col>4</xdr:col>
      <xdr:colOff>504825</xdr:colOff>
      <xdr:row>28</xdr:row>
      <xdr:rowOff>28575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180975</xdr:colOff>
      <xdr:row>29</xdr:row>
      <xdr:rowOff>95250</xdr:rowOff>
    </xdr:from>
    <xdr:to>
      <xdr:col>8</xdr:col>
      <xdr:colOff>0</xdr:colOff>
      <xdr:row>30</xdr:row>
      <xdr:rowOff>123825</xdr:rowOff>
    </xdr:to>
    <xdr:cxnSp macro="">
      <xdr:nvCxnSpPr>
        <xdr:cNvPr id="5" name="AutoShape 1" descr="ec3e6993-97b6-4bcb-8605-f86b8a9f6a2c"/>
        <xdr:cNvCxnSpPr>
          <a:cxnSpLocks noChangeShapeType="1"/>
        </xdr:cNvCxnSpPr>
      </xdr:nvCxnSpPr>
      <xdr:spPr bwMode="auto">
        <a:xfrm rot="10800000" flipV="1">
          <a:off x="4562475" y="5705475"/>
          <a:ext cx="1952625" cy="228600"/>
        </a:xfrm>
        <a:prstGeom prst="bentConnector3">
          <a:avLst>
            <a:gd name="adj1" fmla="val 99014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57150</xdr:colOff>
      <xdr:row>29</xdr:row>
      <xdr:rowOff>95250</xdr:rowOff>
    </xdr:from>
    <xdr:to>
      <xdr:col>7</xdr:col>
      <xdr:colOff>752475</xdr:colOff>
      <xdr:row>31</xdr:row>
      <xdr:rowOff>0</xdr:rowOff>
    </xdr:to>
    <xdr:cxnSp macro="">
      <xdr:nvCxnSpPr>
        <xdr:cNvPr id="6" name="AutoShape 2" descr="a005eae6-1e40-4950-9067-ba9ec075d5a0"/>
        <xdr:cNvCxnSpPr>
          <a:cxnSpLocks noChangeShapeType="1"/>
        </xdr:cNvCxnSpPr>
      </xdr:nvCxnSpPr>
      <xdr:spPr bwMode="auto">
        <a:xfrm rot="10800000" flipV="1">
          <a:off x="5200650" y="5705475"/>
          <a:ext cx="1304925" cy="238125"/>
        </a:xfrm>
        <a:prstGeom prst="bentConnector3">
          <a:avLst>
            <a:gd name="adj1" fmla="val 100725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333375</xdr:colOff>
      <xdr:row>29</xdr:row>
      <xdr:rowOff>95250</xdr:rowOff>
    </xdr:from>
    <xdr:to>
      <xdr:col>7</xdr:col>
      <xdr:colOff>742950</xdr:colOff>
      <xdr:row>30</xdr:row>
      <xdr:rowOff>114300</xdr:rowOff>
    </xdr:to>
    <xdr:cxnSp macro="">
      <xdr:nvCxnSpPr>
        <xdr:cNvPr id="7" name="AutoShape 3" descr="a08814ed-2c1a-4c37-ac9e-c582d4781ab0"/>
        <xdr:cNvCxnSpPr>
          <a:cxnSpLocks noChangeShapeType="1"/>
        </xdr:cNvCxnSpPr>
      </xdr:nvCxnSpPr>
      <xdr:spPr bwMode="auto">
        <a:xfrm rot="10800000" flipV="1">
          <a:off x="6086475" y="5705475"/>
          <a:ext cx="409575" cy="219075"/>
        </a:xfrm>
        <a:prstGeom prst="bentConnector3">
          <a:avLst>
            <a:gd name="adj1" fmla="val 97616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381000</xdr:colOff>
      <xdr:row>30</xdr:row>
      <xdr:rowOff>0</xdr:rowOff>
    </xdr:from>
    <xdr:to>
      <xdr:col>8</xdr:col>
      <xdr:colOff>381000</xdr:colOff>
      <xdr:row>30</xdr:row>
      <xdr:rowOff>180975</xdr:rowOff>
    </xdr:to>
    <xdr:cxnSp macro="">
      <xdr:nvCxnSpPr>
        <xdr:cNvPr id="8" name="AutoShape 4" descr="e8f431c5-596f-4389-8bbd-eee63f54729e"/>
        <xdr:cNvCxnSpPr>
          <a:cxnSpLocks noChangeShapeType="1"/>
        </xdr:cNvCxnSpPr>
      </xdr:nvCxnSpPr>
      <xdr:spPr bwMode="auto">
        <a:xfrm>
          <a:off x="6896100" y="5810250"/>
          <a:ext cx="0" cy="18097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752475</xdr:colOff>
      <xdr:row>29</xdr:row>
      <xdr:rowOff>95250</xdr:rowOff>
    </xdr:from>
    <xdr:to>
      <xdr:col>12</xdr:col>
      <xdr:colOff>438150</xdr:colOff>
      <xdr:row>30</xdr:row>
      <xdr:rowOff>133350</xdr:rowOff>
    </xdr:to>
    <xdr:cxnSp macro="">
      <xdr:nvCxnSpPr>
        <xdr:cNvPr id="9" name="AutoShape 5" descr="7fcaf1ff-b847-40c6-9a95-434944912a74"/>
        <xdr:cNvCxnSpPr>
          <a:cxnSpLocks noChangeShapeType="1"/>
        </xdr:cNvCxnSpPr>
      </xdr:nvCxnSpPr>
      <xdr:spPr bwMode="auto">
        <a:xfrm>
          <a:off x="7267575" y="5705475"/>
          <a:ext cx="2733675" cy="238125"/>
        </a:xfrm>
        <a:prstGeom prst="bentConnector3">
          <a:avLst>
            <a:gd name="adj1" fmla="val 10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752475</xdr:colOff>
      <xdr:row>29</xdr:row>
      <xdr:rowOff>95250</xdr:rowOff>
    </xdr:from>
    <xdr:to>
      <xdr:col>11</xdr:col>
      <xdr:colOff>400050</xdr:colOff>
      <xdr:row>30</xdr:row>
      <xdr:rowOff>123825</xdr:rowOff>
    </xdr:to>
    <xdr:cxnSp macro="">
      <xdr:nvCxnSpPr>
        <xdr:cNvPr id="10" name="AutoShape 6" descr="45741bdc-0947-4b4d-9b64-a495b764dc23"/>
        <xdr:cNvCxnSpPr>
          <a:cxnSpLocks noChangeShapeType="1"/>
        </xdr:cNvCxnSpPr>
      </xdr:nvCxnSpPr>
      <xdr:spPr bwMode="auto">
        <a:xfrm>
          <a:off x="7267575" y="5705475"/>
          <a:ext cx="1933575" cy="228600"/>
        </a:xfrm>
        <a:prstGeom prst="bentConnector3">
          <a:avLst>
            <a:gd name="adj1" fmla="val 100995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752475</xdr:colOff>
      <xdr:row>29</xdr:row>
      <xdr:rowOff>95250</xdr:rowOff>
    </xdr:from>
    <xdr:to>
      <xdr:col>10</xdr:col>
      <xdr:colOff>381000</xdr:colOff>
      <xdr:row>30</xdr:row>
      <xdr:rowOff>133350</xdr:rowOff>
    </xdr:to>
    <xdr:cxnSp macro="">
      <xdr:nvCxnSpPr>
        <xdr:cNvPr id="11" name="AutoShape 7" descr="b4dccd15-38ca-4489-bed9-4cb9f6c5426e"/>
        <xdr:cNvCxnSpPr>
          <a:cxnSpLocks noChangeShapeType="1"/>
        </xdr:cNvCxnSpPr>
      </xdr:nvCxnSpPr>
      <xdr:spPr bwMode="auto">
        <a:xfrm>
          <a:off x="7267575" y="5705475"/>
          <a:ext cx="1152525" cy="238125"/>
        </a:xfrm>
        <a:prstGeom prst="bentConnector3">
          <a:avLst>
            <a:gd name="adj1" fmla="val 10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742950</xdr:colOff>
      <xdr:row>29</xdr:row>
      <xdr:rowOff>95250</xdr:rowOff>
    </xdr:from>
    <xdr:to>
      <xdr:col>9</xdr:col>
      <xdr:colOff>390525</xdr:colOff>
      <xdr:row>31</xdr:row>
      <xdr:rowOff>9525</xdr:rowOff>
    </xdr:to>
    <xdr:cxnSp macro="">
      <xdr:nvCxnSpPr>
        <xdr:cNvPr id="12" name="AutoShape 8" descr="92008e77-60fa-446d-b3ee-adece5df8183"/>
        <xdr:cNvCxnSpPr>
          <a:cxnSpLocks noChangeShapeType="1"/>
        </xdr:cNvCxnSpPr>
      </xdr:nvCxnSpPr>
      <xdr:spPr bwMode="auto">
        <a:xfrm>
          <a:off x="7886700" y="5705475"/>
          <a:ext cx="409575" cy="228600"/>
        </a:xfrm>
        <a:prstGeom prst="bentConnector3">
          <a:avLst>
            <a:gd name="adj1" fmla="val 102324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228600</xdr:colOff>
      <xdr:row>3</xdr:row>
      <xdr:rowOff>182880</xdr:rowOff>
    </xdr:to>
    <xdr:sp macro="" textlink="">
      <xdr:nvSpPr>
        <xdr:cNvPr id="2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0" y="0"/>
          <a:ext cx="11658600" cy="75438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CreditMetrics</a:t>
          </a:r>
          <a:r>
            <a:rPr lang="en-GB" sz="4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Excel : Deux obligations</a:t>
          </a:r>
          <a:endParaRPr lang="en-GB" sz="4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114300</xdr:colOff>
      <xdr:row>32</xdr:row>
      <xdr:rowOff>133350</xdr:rowOff>
    </xdr:from>
    <xdr:to>
      <xdr:col>2</xdr:col>
      <xdr:colOff>762489</xdr:colOff>
      <xdr:row>41</xdr:row>
      <xdr:rowOff>124063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6276975"/>
          <a:ext cx="3505689" cy="1705213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45</xdr:row>
      <xdr:rowOff>104775</xdr:rowOff>
    </xdr:from>
    <xdr:to>
      <xdr:col>3</xdr:col>
      <xdr:colOff>504825</xdr:colOff>
      <xdr:row>49</xdr:row>
      <xdr:rowOff>92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34400"/>
          <a:ext cx="4467225" cy="657317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16</xdr:col>
      <xdr:colOff>180975</xdr:colOff>
      <xdr:row>18</xdr:row>
      <xdr:rowOff>95250</xdr:rowOff>
    </xdr:from>
    <xdr:to>
      <xdr:col>19</xdr:col>
      <xdr:colOff>0</xdr:colOff>
      <xdr:row>19</xdr:row>
      <xdr:rowOff>123825</xdr:rowOff>
    </xdr:to>
    <xdr:cxnSp macro="">
      <xdr:nvCxnSpPr>
        <xdr:cNvPr id="5" name="AutoShape 1" descr="ec3e6993-97b6-4bcb-8605-f86b8a9f6a2c"/>
        <xdr:cNvCxnSpPr>
          <a:cxnSpLocks noChangeShapeType="1"/>
        </xdr:cNvCxnSpPr>
      </xdr:nvCxnSpPr>
      <xdr:spPr bwMode="auto">
        <a:xfrm rot="10800000" flipV="1">
          <a:off x="5191125" y="5705475"/>
          <a:ext cx="1952625" cy="219075"/>
        </a:xfrm>
        <a:prstGeom prst="bentConnector3">
          <a:avLst>
            <a:gd name="adj1" fmla="val 99014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57150</xdr:colOff>
      <xdr:row>18</xdr:row>
      <xdr:rowOff>95250</xdr:rowOff>
    </xdr:from>
    <xdr:to>
      <xdr:col>18</xdr:col>
      <xdr:colOff>752475</xdr:colOff>
      <xdr:row>20</xdr:row>
      <xdr:rowOff>0</xdr:rowOff>
    </xdr:to>
    <xdr:cxnSp macro="">
      <xdr:nvCxnSpPr>
        <xdr:cNvPr id="6" name="AutoShape 2" descr="a005eae6-1e40-4950-9067-ba9ec075d5a0"/>
        <xdr:cNvCxnSpPr>
          <a:cxnSpLocks noChangeShapeType="1"/>
        </xdr:cNvCxnSpPr>
      </xdr:nvCxnSpPr>
      <xdr:spPr bwMode="auto">
        <a:xfrm rot="10800000" flipV="1">
          <a:off x="5829300" y="5705475"/>
          <a:ext cx="1304925" cy="219075"/>
        </a:xfrm>
        <a:prstGeom prst="bentConnector3">
          <a:avLst>
            <a:gd name="adj1" fmla="val 100725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333375</xdr:colOff>
      <xdr:row>18</xdr:row>
      <xdr:rowOff>95250</xdr:rowOff>
    </xdr:from>
    <xdr:to>
      <xdr:col>18</xdr:col>
      <xdr:colOff>742950</xdr:colOff>
      <xdr:row>19</xdr:row>
      <xdr:rowOff>114300</xdr:rowOff>
    </xdr:to>
    <xdr:cxnSp macro="">
      <xdr:nvCxnSpPr>
        <xdr:cNvPr id="7" name="AutoShape 3" descr="a08814ed-2c1a-4c37-ac9e-c582d4781ab0"/>
        <xdr:cNvCxnSpPr>
          <a:cxnSpLocks noChangeShapeType="1"/>
        </xdr:cNvCxnSpPr>
      </xdr:nvCxnSpPr>
      <xdr:spPr bwMode="auto">
        <a:xfrm rot="10800000" flipV="1">
          <a:off x="6715125" y="5705475"/>
          <a:ext cx="409575" cy="219075"/>
        </a:xfrm>
        <a:prstGeom prst="bentConnector3">
          <a:avLst>
            <a:gd name="adj1" fmla="val 97616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381000</xdr:colOff>
      <xdr:row>19</xdr:row>
      <xdr:rowOff>0</xdr:rowOff>
    </xdr:from>
    <xdr:to>
      <xdr:col>19</xdr:col>
      <xdr:colOff>381000</xdr:colOff>
      <xdr:row>19</xdr:row>
      <xdr:rowOff>180975</xdr:rowOff>
    </xdr:to>
    <xdr:cxnSp macro="">
      <xdr:nvCxnSpPr>
        <xdr:cNvPr id="8" name="AutoShape 4" descr="e8f431c5-596f-4389-8bbd-eee63f54729e"/>
        <xdr:cNvCxnSpPr>
          <a:cxnSpLocks noChangeShapeType="1"/>
        </xdr:cNvCxnSpPr>
      </xdr:nvCxnSpPr>
      <xdr:spPr bwMode="auto">
        <a:xfrm>
          <a:off x="7524750" y="5810250"/>
          <a:ext cx="0" cy="11430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752475</xdr:colOff>
      <xdr:row>18</xdr:row>
      <xdr:rowOff>95250</xdr:rowOff>
    </xdr:from>
    <xdr:to>
      <xdr:col>23</xdr:col>
      <xdr:colOff>438150</xdr:colOff>
      <xdr:row>19</xdr:row>
      <xdr:rowOff>133350</xdr:rowOff>
    </xdr:to>
    <xdr:cxnSp macro="">
      <xdr:nvCxnSpPr>
        <xdr:cNvPr id="9" name="AutoShape 5" descr="7fcaf1ff-b847-40c6-9a95-434944912a74"/>
        <xdr:cNvCxnSpPr>
          <a:cxnSpLocks noChangeShapeType="1"/>
        </xdr:cNvCxnSpPr>
      </xdr:nvCxnSpPr>
      <xdr:spPr bwMode="auto">
        <a:xfrm>
          <a:off x="7896225" y="5705475"/>
          <a:ext cx="3057525" cy="219075"/>
        </a:xfrm>
        <a:prstGeom prst="bentConnector3">
          <a:avLst>
            <a:gd name="adj1" fmla="val 10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752475</xdr:colOff>
      <xdr:row>18</xdr:row>
      <xdr:rowOff>95250</xdr:rowOff>
    </xdr:from>
    <xdr:to>
      <xdr:col>22</xdr:col>
      <xdr:colOff>400050</xdr:colOff>
      <xdr:row>19</xdr:row>
      <xdr:rowOff>123825</xdr:rowOff>
    </xdr:to>
    <xdr:cxnSp macro="">
      <xdr:nvCxnSpPr>
        <xdr:cNvPr id="10" name="AutoShape 6" descr="45741bdc-0947-4b4d-9b64-a495b764dc23"/>
        <xdr:cNvCxnSpPr>
          <a:cxnSpLocks noChangeShapeType="1"/>
        </xdr:cNvCxnSpPr>
      </xdr:nvCxnSpPr>
      <xdr:spPr bwMode="auto">
        <a:xfrm>
          <a:off x="7896225" y="5705475"/>
          <a:ext cx="2095500" cy="219075"/>
        </a:xfrm>
        <a:prstGeom prst="bentConnector3">
          <a:avLst>
            <a:gd name="adj1" fmla="val 100995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752475</xdr:colOff>
      <xdr:row>18</xdr:row>
      <xdr:rowOff>95250</xdr:rowOff>
    </xdr:from>
    <xdr:to>
      <xdr:col>21</xdr:col>
      <xdr:colOff>381000</xdr:colOff>
      <xdr:row>19</xdr:row>
      <xdr:rowOff>133350</xdr:rowOff>
    </xdr:to>
    <xdr:cxnSp macro="">
      <xdr:nvCxnSpPr>
        <xdr:cNvPr id="11" name="AutoShape 7" descr="b4dccd15-38ca-4489-bed9-4cb9f6c5426e"/>
        <xdr:cNvCxnSpPr>
          <a:cxnSpLocks noChangeShapeType="1"/>
        </xdr:cNvCxnSpPr>
      </xdr:nvCxnSpPr>
      <xdr:spPr bwMode="auto">
        <a:xfrm>
          <a:off x="7896225" y="5705475"/>
          <a:ext cx="1228725" cy="219075"/>
        </a:xfrm>
        <a:prstGeom prst="bentConnector3">
          <a:avLst>
            <a:gd name="adj1" fmla="val 10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742950</xdr:colOff>
      <xdr:row>18</xdr:row>
      <xdr:rowOff>95250</xdr:rowOff>
    </xdr:from>
    <xdr:to>
      <xdr:col>20</xdr:col>
      <xdr:colOff>390525</xdr:colOff>
      <xdr:row>20</xdr:row>
      <xdr:rowOff>9525</xdr:rowOff>
    </xdr:to>
    <xdr:cxnSp macro="">
      <xdr:nvCxnSpPr>
        <xdr:cNvPr id="12" name="AutoShape 8" descr="92008e77-60fa-446d-b3ee-adece5df8183"/>
        <xdr:cNvCxnSpPr>
          <a:cxnSpLocks noChangeShapeType="1"/>
        </xdr:cNvCxnSpPr>
      </xdr:nvCxnSpPr>
      <xdr:spPr bwMode="auto">
        <a:xfrm>
          <a:off x="7886700" y="5705475"/>
          <a:ext cx="409575" cy="228600"/>
        </a:xfrm>
        <a:prstGeom prst="bentConnector3">
          <a:avLst>
            <a:gd name="adj1" fmla="val 102324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15</xdr:col>
      <xdr:colOff>552450</xdr:colOff>
      <xdr:row>31</xdr:row>
      <xdr:rowOff>28575</xdr:rowOff>
    </xdr:from>
    <xdr:to>
      <xdr:col>27</xdr:col>
      <xdr:colOff>153747</xdr:colOff>
      <xdr:row>55</xdr:row>
      <xdr:rowOff>153063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44900" y="6191250"/>
          <a:ext cx="9650172" cy="4753638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6:O43"/>
  <sheetViews>
    <sheetView showGridLines="0" tabSelected="1" topLeftCell="A28" workbookViewId="0">
      <selection activeCell="K43" sqref="K43"/>
    </sheetView>
  </sheetViews>
  <sheetFormatPr baseColWidth="10" defaultRowHeight="15" x14ac:dyDescent="0.25"/>
  <cols>
    <col min="2" max="2" width="22.42578125" customWidth="1"/>
    <col min="3" max="3" width="16.5703125" bestFit="1" customWidth="1"/>
    <col min="4" max="4" width="8.5703125" customWidth="1"/>
    <col min="5" max="5" width="16.140625" bestFit="1" customWidth="1"/>
    <col min="7" max="7" width="9.140625" customWidth="1"/>
    <col min="10" max="10" width="12.5703125" bestFit="1" customWidth="1"/>
    <col min="11" max="11" width="12.7109375" customWidth="1"/>
    <col min="12" max="12" width="13.85546875" customWidth="1"/>
    <col min="13" max="13" width="20" bestFit="1" customWidth="1"/>
    <col min="14" max="14" width="12.42578125" customWidth="1"/>
    <col min="15" max="15" width="13.5703125" customWidth="1"/>
  </cols>
  <sheetData>
    <row r="6" spans="2:14" ht="15.75" x14ac:dyDescent="0.25">
      <c r="B6" s="1" t="s">
        <v>0</v>
      </c>
      <c r="F6" s="9" t="s">
        <v>15</v>
      </c>
    </row>
    <row r="7" spans="2:14" x14ac:dyDescent="0.25">
      <c r="B7" s="2"/>
      <c r="C7" s="3"/>
      <c r="D7" s="4"/>
      <c r="F7" s="19" t="s">
        <v>17</v>
      </c>
      <c r="G7" s="20"/>
      <c r="H7" s="20"/>
      <c r="I7" s="20"/>
      <c r="J7" s="20"/>
      <c r="K7" s="20"/>
      <c r="L7" s="20"/>
      <c r="M7" s="20"/>
      <c r="N7" s="20"/>
    </row>
    <row r="8" spans="2:14" x14ac:dyDescent="0.25">
      <c r="B8" s="5" t="s">
        <v>1</v>
      </c>
      <c r="C8" s="6">
        <v>100</v>
      </c>
      <c r="D8" s="7"/>
      <c r="F8" s="10" t="s">
        <v>13</v>
      </c>
      <c r="G8" s="11" t="s">
        <v>16</v>
      </c>
      <c r="H8" s="12"/>
      <c r="I8" s="12"/>
      <c r="J8" s="12"/>
      <c r="K8" s="12"/>
      <c r="L8" s="12"/>
      <c r="M8" s="12"/>
      <c r="N8" s="12"/>
    </row>
    <row r="9" spans="2:14" x14ac:dyDescent="0.25">
      <c r="B9" s="5" t="s">
        <v>2</v>
      </c>
      <c r="C9" s="6" t="s">
        <v>8</v>
      </c>
      <c r="D9" s="7"/>
      <c r="F9" s="13" t="s">
        <v>14</v>
      </c>
      <c r="G9" s="14" t="s">
        <v>5</v>
      </c>
      <c r="H9" s="14" t="s">
        <v>6</v>
      </c>
      <c r="I9" s="14" t="s">
        <v>7</v>
      </c>
      <c r="J9" s="14" t="s">
        <v>8</v>
      </c>
      <c r="K9" s="14" t="s">
        <v>9</v>
      </c>
      <c r="L9" s="14" t="s">
        <v>10</v>
      </c>
      <c r="M9" s="14" t="s">
        <v>11</v>
      </c>
      <c r="N9" s="14" t="s">
        <v>12</v>
      </c>
    </row>
    <row r="10" spans="2:14" x14ac:dyDescent="0.25">
      <c r="B10" s="5" t="s">
        <v>3</v>
      </c>
      <c r="C10" s="26">
        <v>0.06</v>
      </c>
      <c r="D10" s="7"/>
      <c r="F10" s="10" t="s">
        <v>5</v>
      </c>
      <c r="G10" s="15">
        <v>0.90810000000000002</v>
      </c>
      <c r="H10" s="16">
        <v>8.3299999999999999E-2</v>
      </c>
      <c r="I10" s="16">
        <v>6.8000000000000005E-3</v>
      </c>
      <c r="J10" s="16">
        <v>5.9999999999999995E-4</v>
      </c>
      <c r="K10" s="16">
        <v>1.1999999999999999E-3</v>
      </c>
      <c r="L10" s="16">
        <v>0</v>
      </c>
      <c r="M10" s="16">
        <v>0</v>
      </c>
      <c r="N10" s="16">
        <v>0</v>
      </c>
    </row>
    <row r="11" spans="2:14" x14ac:dyDescent="0.25">
      <c r="B11" s="5" t="s">
        <v>4</v>
      </c>
      <c r="C11" s="6" t="s">
        <v>23</v>
      </c>
      <c r="D11" s="7"/>
      <c r="F11" s="10" t="s">
        <v>6</v>
      </c>
      <c r="G11" s="16">
        <v>6.9999999999999993E-3</v>
      </c>
      <c r="H11" s="15">
        <v>0.90650000000000008</v>
      </c>
      <c r="I11" s="16">
        <v>7.7899999999999997E-2</v>
      </c>
      <c r="J11" s="16">
        <v>6.4000000000000003E-3</v>
      </c>
      <c r="K11" s="16">
        <v>5.9999999999999995E-4</v>
      </c>
      <c r="L11" s="16">
        <v>1.4000000000000002E-3</v>
      </c>
      <c r="M11" s="16">
        <v>2.0000000000000001E-4</v>
      </c>
      <c r="N11" s="16">
        <v>0</v>
      </c>
    </row>
    <row r="12" spans="2:14" x14ac:dyDescent="0.25">
      <c r="B12" s="25" t="s">
        <v>20</v>
      </c>
      <c r="C12" s="46">
        <v>5</v>
      </c>
      <c r="D12" s="8"/>
      <c r="F12" s="10" t="s">
        <v>7</v>
      </c>
      <c r="G12" s="16">
        <v>8.9999999999999998E-4</v>
      </c>
      <c r="H12" s="16">
        <v>2.2700000000000001E-2</v>
      </c>
      <c r="I12" s="15">
        <v>0.91049999999999998</v>
      </c>
      <c r="J12" s="16">
        <v>5.5199999999999999E-2</v>
      </c>
      <c r="K12" s="16">
        <v>7.4000000000000003E-3</v>
      </c>
      <c r="L12" s="16">
        <v>2.5999999999999999E-3</v>
      </c>
      <c r="M12" s="16">
        <v>1E-4</v>
      </c>
      <c r="N12" s="16">
        <v>5.9999999999999995E-4</v>
      </c>
    </row>
    <row r="13" spans="2:14" x14ac:dyDescent="0.25">
      <c r="F13" s="10" t="s">
        <v>8</v>
      </c>
      <c r="G13" s="17">
        <v>2.0000000000000001E-4</v>
      </c>
      <c r="H13" s="17">
        <v>3.3E-3</v>
      </c>
      <c r="I13" s="17">
        <v>5.9500000000000004E-2</v>
      </c>
      <c r="J13" s="18">
        <v>0.86930000000000007</v>
      </c>
      <c r="K13" s="17">
        <v>5.2999999999999999E-2</v>
      </c>
      <c r="L13" s="17">
        <v>1.1699999999999999E-2</v>
      </c>
      <c r="M13" s="17">
        <v>1.1999999999999999E-3</v>
      </c>
      <c r="N13" s="17">
        <v>1.8E-3</v>
      </c>
    </row>
    <row r="14" spans="2:14" ht="14.25" customHeight="1" x14ac:dyDescent="0.25">
      <c r="F14" s="10" t="s">
        <v>9</v>
      </c>
      <c r="G14" s="16">
        <v>2.9999999999999997E-4</v>
      </c>
      <c r="H14" s="16">
        <v>1.4000000000000002E-3</v>
      </c>
      <c r="I14" s="16">
        <v>6.7000000000000002E-3</v>
      </c>
      <c r="J14" s="16">
        <v>7.7300000000000008E-2</v>
      </c>
      <c r="K14" s="15">
        <v>0.80530000000000002</v>
      </c>
      <c r="L14" s="16">
        <v>8.8399999999999992E-2</v>
      </c>
      <c r="M14" s="16">
        <v>0.01</v>
      </c>
      <c r="N14" s="16">
        <v>1.06E-2</v>
      </c>
    </row>
    <row r="15" spans="2:14" x14ac:dyDescent="0.25">
      <c r="F15" s="10" t="s">
        <v>10</v>
      </c>
      <c r="G15" s="16">
        <v>0</v>
      </c>
      <c r="H15" s="16">
        <v>1.1000000000000001E-3</v>
      </c>
      <c r="I15" s="16">
        <v>2.3999999999999998E-3</v>
      </c>
      <c r="J15" s="16">
        <v>4.3E-3</v>
      </c>
      <c r="K15" s="16">
        <v>6.480000000000001E-2</v>
      </c>
      <c r="L15" s="15">
        <v>0.8345999999999999</v>
      </c>
      <c r="M15" s="16">
        <v>4.07E-2</v>
      </c>
      <c r="N15" s="16">
        <v>5.2000000000000005E-2</v>
      </c>
    </row>
    <row r="16" spans="2:14" x14ac:dyDescent="0.25">
      <c r="F16" s="10" t="s">
        <v>11</v>
      </c>
      <c r="G16" s="16">
        <v>2.2000000000000001E-3</v>
      </c>
      <c r="H16" s="16">
        <v>0</v>
      </c>
      <c r="I16" s="16">
        <v>2.2000000000000001E-3</v>
      </c>
      <c r="J16" s="16">
        <v>1.3000000000000001E-2</v>
      </c>
      <c r="K16" s="16">
        <v>2.3799999999999998E-2</v>
      </c>
      <c r="L16" s="16">
        <v>0.1124</v>
      </c>
      <c r="M16" s="15">
        <v>0.64859999999999995</v>
      </c>
      <c r="N16" s="16">
        <v>0.19789999999999999</v>
      </c>
    </row>
    <row r="17" spans="5:15" x14ac:dyDescent="0.25">
      <c r="G17" s="16"/>
      <c r="H17" s="16"/>
      <c r="I17" s="16"/>
      <c r="J17" s="16"/>
      <c r="K17" s="16"/>
      <c r="L17" s="16"/>
      <c r="M17" s="15"/>
      <c r="N17" s="16"/>
    </row>
    <row r="18" spans="5:15" ht="15.75" x14ac:dyDescent="0.25">
      <c r="F18" s="9" t="s">
        <v>18</v>
      </c>
    </row>
    <row r="19" spans="5:15" x14ac:dyDescent="0.25">
      <c r="F19" s="21" t="s">
        <v>19</v>
      </c>
      <c r="G19" s="20"/>
      <c r="H19" s="20"/>
      <c r="I19" s="20"/>
      <c r="J19" s="20"/>
      <c r="K19" s="20"/>
    </row>
    <row r="20" spans="5:15" ht="20.25" customHeight="1" x14ac:dyDescent="0.25">
      <c r="F20" s="24" t="s">
        <v>13</v>
      </c>
      <c r="G20" s="23">
        <v>0</v>
      </c>
      <c r="H20" s="23">
        <v>1</v>
      </c>
      <c r="I20" s="23">
        <v>2</v>
      </c>
      <c r="J20" s="23">
        <v>3</v>
      </c>
      <c r="K20" s="23">
        <v>4</v>
      </c>
      <c r="M20" s="33" t="s">
        <v>21</v>
      </c>
      <c r="N20" s="27" t="s">
        <v>27</v>
      </c>
      <c r="O20" s="28" t="s">
        <v>28</v>
      </c>
    </row>
    <row r="21" spans="5:15" x14ac:dyDescent="0.25">
      <c r="F21" s="10" t="s">
        <v>5</v>
      </c>
      <c r="G21" s="22"/>
      <c r="H21" s="16">
        <v>3.6000000000000004E-2</v>
      </c>
      <c r="I21" s="16">
        <v>4.1700000000000001E-2</v>
      </c>
      <c r="J21" s="16">
        <v>4.7300000000000002E-2</v>
      </c>
      <c r="K21" s="16">
        <v>5.1200000000000002E-2</v>
      </c>
      <c r="M21" s="29" t="s">
        <v>22</v>
      </c>
      <c r="N21" s="30">
        <v>0.53800000000000003</v>
      </c>
      <c r="O21" s="30">
        <v>0.26860000000000001</v>
      </c>
    </row>
    <row r="22" spans="5:15" x14ac:dyDescent="0.25">
      <c r="F22" s="10" t="s">
        <v>6</v>
      </c>
      <c r="G22" s="22"/>
      <c r="H22" s="16">
        <v>3.6499999999999998E-2</v>
      </c>
      <c r="I22" s="16">
        <v>4.2199999999999994E-2</v>
      </c>
      <c r="J22" s="16">
        <v>4.7800000000000002E-2</v>
      </c>
      <c r="K22" s="16">
        <v>5.1699999999999996E-2</v>
      </c>
      <c r="M22" s="29" t="s">
        <v>23</v>
      </c>
      <c r="N22" s="30">
        <v>0.51129999999999998</v>
      </c>
      <c r="O22" s="30">
        <v>0.2545</v>
      </c>
    </row>
    <row r="23" spans="5:15" x14ac:dyDescent="0.25">
      <c r="F23" s="10" t="s">
        <v>7</v>
      </c>
      <c r="G23" s="22"/>
      <c r="H23" s="16">
        <v>3.7200000000000004E-2</v>
      </c>
      <c r="I23" s="16">
        <v>4.3200000000000002E-2</v>
      </c>
      <c r="J23" s="16">
        <v>4.9299999999999997E-2</v>
      </c>
      <c r="K23" s="16">
        <v>5.3200000000000004E-2</v>
      </c>
      <c r="M23" s="29" t="s">
        <v>24</v>
      </c>
      <c r="N23" s="30">
        <v>0.38519999999999999</v>
      </c>
      <c r="O23" s="30">
        <v>0.23810000000000001</v>
      </c>
    </row>
    <row r="24" spans="5:15" x14ac:dyDescent="0.25">
      <c r="F24" s="10" t="s">
        <v>8</v>
      </c>
      <c r="G24" s="22"/>
      <c r="H24" s="16">
        <v>4.0999999999999995E-2</v>
      </c>
      <c r="I24" s="16">
        <v>4.6699999999999998E-2</v>
      </c>
      <c r="J24" s="16">
        <v>5.2499999999999998E-2</v>
      </c>
      <c r="K24" s="16">
        <v>5.6299999999999996E-2</v>
      </c>
      <c r="M24" s="29" t="s">
        <v>25</v>
      </c>
      <c r="N24" s="30">
        <v>0.32740000000000002</v>
      </c>
      <c r="O24" s="30">
        <v>0.20180000000000001</v>
      </c>
    </row>
    <row r="25" spans="5:15" x14ac:dyDescent="0.25">
      <c r="F25" s="10" t="s">
        <v>9</v>
      </c>
      <c r="G25" s="22"/>
      <c r="H25" s="16">
        <v>5.5500000000000001E-2</v>
      </c>
      <c r="I25" s="16">
        <v>6.0199999999999997E-2</v>
      </c>
      <c r="J25" s="16">
        <v>6.7799999999999999E-2</v>
      </c>
      <c r="K25" s="16">
        <v>7.2700000000000001E-2</v>
      </c>
      <c r="M25" s="31" t="s">
        <v>26</v>
      </c>
      <c r="N25" s="32">
        <v>0.1709</v>
      </c>
      <c r="O25" s="32">
        <v>0.109</v>
      </c>
    </row>
    <row r="26" spans="5:15" x14ac:dyDescent="0.25">
      <c r="F26" s="10" t="s">
        <v>10</v>
      </c>
      <c r="G26" s="22"/>
      <c r="H26" s="16">
        <v>6.0499999999999998E-2</v>
      </c>
      <c r="I26" s="16">
        <v>7.0199999999999999E-2</v>
      </c>
      <c r="J26" s="16">
        <v>8.0299999999999996E-2</v>
      </c>
      <c r="K26" s="16">
        <v>8.5199999999999998E-2</v>
      </c>
    </row>
    <row r="27" spans="5:15" x14ac:dyDescent="0.25">
      <c r="F27" s="10" t="s">
        <v>11</v>
      </c>
      <c r="G27" s="22"/>
      <c r="H27" s="16">
        <v>0.15049999999999999</v>
      </c>
      <c r="I27" s="16">
        <v>0.1502</v>
      </c>
      <c r="J27" s="16">
        <v>0.14029999999999998</v>
      </c>
      <c r="K27" s="16">
        <v>0.13519999999999999</v>
      </c>
    </row>
    <row r="29" spans="5:15" ht="15.75" thickBot="1" x14ac:dyDescent="0.3"/>
    <row r="30" spans="5:15" ht="15.75" thickBot="1" x14ac:dyDescent="0.3">
      <c r="I30" s="39" t="str">
        <f>C9</f>
        <v>BBB</v>
      </c>
    </row>
    <row r="31" spans="5:15" ht="9" customHeight="1" x14ac:dyDescent="0.25"/>
    <row r="32" spans="5:15" x14ac:dyDescent="0.25">
      <c r="E32" s="34" t="s">
        <v>29</v>
      </c>
      <c r="F32" s="35" t="s">
        <v>5</v>
      </c>
      <c r="G32" s="35" t="s">
        <v>6</v>
      </c>
      <c r="H32" s="35" t="s">
        <v>7</v>
      </c>
      <c r="I32" s="35" t="s">
        <v>8</v>
      </c>
      <c r="J32" s="35" t="s">
        <v>9</v>
      </c>
      <c r="K32" s="35" t="s">
        <v>10</v>
      </c>
      <c r="L32" s="35" t="s">
        <v>11</v>
      </c>
      <c r="M32" s="36" t="s">
        <v>12</v>
      </c>
    </row>
    <row r="33" spans="5:13" x14ac:dyDescent="0.25">
      <c r="E33" s="34" t="s">
        <v>30</v>
      </c>
      <c r="F33" s="37">
        <f>G13</f>
        <v>2.0000000000000001E-4</v>
      </c>
      <c r="G33" s="37">
        <f t="shared" ref="G33:M33" si="0">H13</f>
        <v>3.3E-3</v>
      </c>
      <c r="H33" s="37">
        <f t="shared" si="0"/>
        <v>5.9500000000000004E-2</v>
      </c>
      <c r="I33" s="37">
        <f t="shared" si="0"/>
        <v>0.86930000000000007</v>
      </c>
      <c r="J33" s="37">
        <f t="shared" si="0"/>
        <v>5.2999999999999999E-2</v>
      </c>
      <c r="K33" s="37">
        <f t="shared" si="0"/>
        <v>1.1699999999999999E-2</v>
      </c>
      <c r="L33" s="37">
        <f t="shared" si="0"/>
        <v>1.1999999999999999E-3</v>
      </c>
      <c r="M33" s="38">
        <f t="shared" si="0"/>
        <v>1.8E-3</v>
      </c>
    </row>
    <row r="34" spans="5:13" x14ac:dyDescent="0.25">
      <c r="E34" s="31" t="s">
        <v>31</v>
      </c>
      <c r="F34" s="41">
        <f>+C8*C10+C8*C10/((1+H21)^H20)+C8*C10/((1+I21)^I20)+C8*C10/((1+J21)^J20)+(C8+C8*C10)/((1+K21)^K20)</f>
        <v>109.35290799817747</v>
      </c>
      <c r="G34" s="41">
        <f>C8*C10+C8*C10/((1+H22)^H20)+C8*C10/((1+I22)^I20)+C8*C10/((1+J22)^J20)+(C8+C8*C10)/((1+K22)^K20)</f>
        <v>109.17237089806929</v>
      </c>
      <c r="H34" s="41">
        <f>C8*C10+C8*C10/((1+H23)^H20)+C8*C10/((1+I23)^I20)+C8*C10/((1+J23)^J20)+(C8+C8*C10)/((1+K23)^K20)</f>
        <v>108.64299209354374</v>
      </c>
      <c r="I34" s="41">
        <f>C8*C10+C8*C10/((1+H24)^H20)+C8*C10/((1+I24)^I20)+C8*C10/((1+J24)^J20)+(C8+C8*C10)/((1+K24)^K20)</f>
        <v>107.53094386580608</v>
      </c>
      <c r="J34" s="41">
        <f>C8*C10+C8*C10/((1+H25)^H20)+C8*C10/((1+I25)^I20)+C8*C10/((1+J25)^J20)+(C8+C8*C10)/((1+K25)^K20)</f>
        <v>102.00638552436996</v>
      </c>
      <c r="K34" s="41">
        <f>C8*C10+C8*C10/((1+H26)^H20)+C8*C10/((1+I26)^I20)+C8*C10/((1+J26)^J20)+(C8+C8*C10)/((1+K26)^K20)</f>
        <v>98.085913180675092</v>
      </c>
      <c r="L34" s="41">
        <f>C8*C10+C8*C10/((1+H27)^H20)+C8*C10/((1+I27)^I20)+C8*C10/((1+J27)^J20)+(C8+C8*C10)/((1+K27)^K20)</f>
        <v>83.625791197223762</v>
      </c>
      <c r="M34" s="40">
        <f>C8*VLOOKUP(C11,M21:N25,2,FALSE)</f>
        <v>51.129999999999995</v>
      </c>
    </row>
    <row r="35" spans="5:13" x14ac:dyDescent="0.25">
      <c r="E35" s="43"/>
      <c r="F35" s="44">
        <f>F34-$J$39</f>
        <v>2.2835324940609354</v>
      </c>
      <c r="G35" s="44">
        <f t="shared" ref="G35:L35" si="1">G34-$J$39</f>
        <v>2.102995393952753</v>
      </c>
      <c r="H35" s="44">
        <f t="shared" si="1"/>
        <v>1.5736165894272034</v>
      </c>
      <c r="I35" s="44">
        <f t="shared" si="1"/>
        <v>0.46156836168954385</v>
      </c>
      <c r="J35" s="44">
        <f t="shared" si="1"/>
        <v>-5.0629899797465754</v>
      </c>
      <c r="K35" s="44">
        <f t="shared" si="1"/>
        <v>-8.9834623234414437</v>
      </c>
      <c r="L35" s="44">
        <f t="shared" si="1"/>
        <v>-23.443584306892774</v>
      </c>
      <c r="M35" s="44">
        <f>M34-$J$39</f>
        <v>-55.939375504116541</v>
      </c>
    </row>
    <row r="36" spans="5:13" x14ac:dyDescent="0.25">
      <c r="M36" s="45">
        <f>VLOOKUP(C11,M21:O25,3,FALSE)</f>
        <v>0.2545</v>
      </c>
    </row>
    <row r="37" spans="5:13" x14ac:dyDescent="0.25">
      <c r="F37" s="55">
        <f t="shared" ref="F37:K37" si="2">+F33+G37</f>
        <v>1</v>
      </c>
      <c r="G37" s="55">
        <f t="shared" si="2"/>
        <v>0.99980000000000002</v>
      </c>
      <c r="H37" s="55">
        <f t="shared" si="2"/>
        <v>0.99650000000000005</v>
      </c>
      <c r="I37" s="55">
        <f t="shared" si="2"/>
        <v>0.93700000000000006</v>
      </c>
      <c r="J37" s="55">
        <f t="shared" si="2"/>
        <v>6.7699999999999996E-2</v>
      </c>
      <c r="K37" s="55">
        <f t="shared" si="2"/>
        <v>1.4699999999999998E-2</v>
      </c>
      <c r="L37" s="55">
        <f>+L33+M37</f>
        <v>3.0000000000000001E-3</v>
      </c>
      <c r="M37" s="45">
        <f>+M33</f>
        <v>1.8E-3</v>
      </c>
    </row>
    <row r="38" spans="5:13" ht="24" thickBot="1" x14ac:dyDescent="0.4">
      <c r="E38" s="42"/>
      <c r="F38" s="9" t="s">
        <v>39</v>
      </c>
    </row>
    <row r="39" spans="5:13" ht="15.75" thickBot="1" x14ac:dyDescent="0.3">
      <c r="F39" s="58" t="s">
        <v>32</v>
      </c>
      <c r="G39" s="59"/>
      <c r="H39" s="59"/>
      <c r="I39" s="59"/>
      <c r="J39" s="60">
        <f>SUMPRODUCT(F33:M33,F34:M34)</f>
        <v>107.06937550411654</v>
      </c>
    </row>
    <row r="40" spans="5:13" ht="15.75" thickBot="1" x14ac:dyDescent="0.3"/>
    <row r="41" spans="5:13" ht="15.75" thickBot="1" x14ac:dyDescent="0.3">
      <c r="F41" s="58" t="s">
        <v>35</v>
      </c>
      <c r="G41" s="59"/>
      <c r="H41" s="59"/>
      <c r="I41" s="59"/>
      <c r="J41" s="60">
        <f>(F33*F34^2+G33*G34^2+H33*H34^2+I33*I34^2+J33*J34^2+K33*K34^2+L33*L34^2+M33*(M34^2+M36^2))-J39^2</f>
        <v>8.9432144129023072</v>
      </c>
    </row>
    <row r="42" spans="5:13" ht="15.75" thickBot="1" x14ac:dyDescent="0.3"/>
    <row r="43" spans="5:13" ht="19.5" thickBot="1" x14ac:dyDescent="0.35">
      <c r="E43" s="54" t="s">
        <v>36</v>
      </c>
      <c r="F43" s="53">
        <v>0.05</v>
      </c>
      <c r="H43" s="52" t="s">
        <v>37</v>
      </c>
      <c r="I43" s="102">
        <f>_xlfn.NORM.INV(1-F43,0,1)*J41^(1/2)</f>
        <v>4.9189689177102522</v>
      </c>
      <c r="K43" s="56" t="s">
        <v>38</v>
      </c>
      <c r="L43" s="54"/>
      <c r="M43" s="57">
        <f>IF(F43&lt;M37,"Pas de 1er Percentage",IF(AND(F43&gt;=M37,F43&lt;L37),M35,IF(AND(F43&gt;=L37,F43&lt;K37),L35,IF(AND(F43&gt;=K37,F43&lt;J37),K35,IF(AND(F43&gt;=J37,F43&lt;I37),J35,"Trop grand")))))</f>
        <v>-8.9834623234414437</v>
      </c>
    </row>
  </sheetData>
  <conditionalFormatting sqref="C8:C11">
    <cfRule type="expression" dxfId="26" priority="9">
      <formula>ISBLANK(C8)</formula>
    </cfRule>
  </conditionalFormatting>
  <conditionalFormatting sqref="C8:C11">
    <cfRule type="expression" dxfId="25" priority="10">
      <formula>AND($H$4="Team",OR($F8=$M$4,$L8=$M$4))</formula>
    </cfRule>
    <cfRule type="expression" dxfId="24" priority="11">
      <formula>AND($H$4="Group",$E8=$K$4)</formula>
    </cfRule>
  </conditionalFormatting>
  <conditionalFormatting sqref="C12">
    <cfRule type="expression" dxfId="23" priority="4">
      <formula>ISBLANK(C12)</formula>
    </cfRule>
  </conditionalFormatting>
  <conditionalFormatting sqref="C12">
    <cfRule type="expression" dxfId="22" priority="5">
      <formula>AND($H$4="Team",OR($F12=$M$4,$L12=$M$4))</formula>
    </cfRule>
    <cfRule type="expression" dxfId="21" priority="6">
      <formula>AND($H$4="Group",$E12=$K$4)</formula>
    </cfRule>
  </conditionalFormatting>
  <conditionalFormatting sqref="F43">
    <cfRule type="expression" dxfId="20" priority="1">
      <formula>ISBLANK(F43)</formula>
    </cfRule>
  </conditionalFormatting>
  <conditionalFormatting sqref="F43">
    <cfRule type="expression" dxfId="19" priority="2">
      <formula>AND($H$4="Team",OR($F43=$M$4,$L43=$M$4))</formula>
    </cfRule>
    <cfRule type="expression" dxfId="18" priority="3">
      <formula>AND($H$4="Group",$E43=$K$4)</formula>
    </cfRule>
  </conditionalFormatting>
  <dataValidations count="2">
    <dataValidation type="list" allowBlank="1" showInputMessage="1" showErrorMessage="1" sqref="C9">
      <formula1>G9:M9</formula1>
    </dataValidation>
    <dataValidation type="list" allowBlank="1" showInputMessage="1" showErrorMessage="1" sqref="C11">
      <formula1>$M$21:$M$25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7:Y89"/>
  <sheetViews>
    <sheetView showGridLines="0" topLeftCell="D69" workbookViewId="0">
      <selection activeCell="L89" sqref="L89"/>
    </sheetView>
  </sheetViews>
  <sheetFormatPr baseColWidth="10" defaultRowHeight="15" x14ac:dyDescent="0.25"/>
  <cols>
    <col min="1" max="1" width="21.5703125" bestFit="1" customWidth="1"/>
    <col min="2" max="2" width="21.28515625" customWidth="1"/>
    <col min="3" max="3" width="16.5703125" bestFit="1" customWidth="1"/>
    <col min="5" max="5" width="16.5703125" customWidth="1"/>
    <col min="6" max="6" width="17.42578125" bestFit="1" customWidth="1"/>
    <col min="7" max="7" width="18.7109375" customWidth="1"/>
    <col min="8" max="9" width="15.5703125" bestFit="1" customWidth="1"/>
    <col min="10" max="10" width="14.5703125" bestFit="1" customWidth="1"/>
    <col min="11" max="11" width="15.42578125" bestFit="1" customWidth="1"/>
    <col min="12" max="14" width="13.5703125" bestFit="1" customWidth="1"/>
    <col min="16" max="16" width="16.42578125" customWidth="1"/>
    <col min="23" max="23" width="20" bestFit="1" customWidth="1"/>
  </cols>
  <sheetData>
    <row r="7" spans="1:25" x14ac:dyDescent="0.25">
      <c r="A7" s="1" t="s">
        <v>0</v>
      </c>
      <c r="P7" s="81" t="s">
        <v>49</v>
      </c>
    </row>
    <row r="8" spans="1:25" ht="15.75" x14ac:dyDescent="0.25">
      <c r="A8" s="2"/>
      <c r="B8" s="47" t="s">
        <v>33</v>
      </c>
      <c r="C8" s="48" t="s">
        <v>34</v>
      </c>
      <c r="E8" s="9" t="s">
        <v>15</v>
      </c>
    </row>
    <row r="9" spans="1:25" ht="25.5" x14ac:dyDescent="0.25">
      <c r="A9" s="5" t="s">
        <v>1</v>
      </c>
      <c r="B9" s="6">
        <v>100</v>
      </c>
      <c r="C9" s="49">
        <v>100</v>
      </c>
      <c r="E9" s="19" t="s">
        <v>17</v>
      </c>
      <c r="F9" s="20"/>
      <c r="G9" s="20"/>
      <c r="H9" s="20"/>
      <c r="I9" s="20"/>
      <c r="J9" s="20"/>
      <c r="K9" s="20"/>
      <c r="L9" s="20"/>
      <c r="M9" s="20"/>
      <c r="P9" s="24" t="s">
        <v>13</v>
      </c>
      <c r="Q9" s="23">
        <v>0</v>
      </c>
      <c r="R9" s="23">
        <v>1</v>
      </c>
      <c r="S9" s="23">
        <v>2</v>
      </c>
      <c r="T9" s="23">
        <v>3</v>
      </c>
      <c r="U9" s="23">
        <v>4</v>
      </c>
      <c r="W9" s="33" t="s">
        <v>21</v>
      </c>
      <c r="X9" s="27" t="s">
        <v>27</v>
      </c>
      <c r="Y9" s="28" t="s">
        <v>28</v>
      </c>
    </row>
    <row r="10" spans="1:25" x14ac:dyDescent="0.25">
      <c r="A10" s="5" t="s">
        <v>2</v>
      </c>
      <c r="B10" s="6" t="s">
        <v>8</v>
      </c>
      <c r="C10" s="49" t="s">
        <v>7</v>
      </c>
      <c r="E10" s="10" t="s">
        <v>13</v>
      </c>
      <c r="F10" s="11" t="s">
        <v>16</v>
      </c>
      <c r="G10" s="12"/>
      <c r="H10" s="12"/>
      <c r="I10" s="12"/>
      <c r="J10" s="12"/>
      <c r="K10" s="12"/>
      <c r="L10" s="12"/>
      <c r="M10" s="12"/>
      <c r="P10" s="10" t="s">
        <v>5</v>
      </c>
      <c r="Q10" s="22"/>
      <c r="R10" s="16">
        <v>3.6000000000000004E-2</v>
      </c>
      <c r="S10" s="16">
        <v>4.1700000000000001E-2</v>
      </c>
      <c r="T10" s="16">
        <v>4.7300000000000002E-2</v>
      </c>
      <c r="U10" s="16">
        <v>5.1200000000000002E-2</v>
      </c>
      <c r="W10" s="29" t="s">
        <v>22</v>
      </c>
      <c r="X10" s="30">
        <v>0.53800000000000003</v>
      </c>
      <c r="Y10" s="30">
        <v>0.26860000000000001</v>
      </c>
    </row>
    <row r="11" spans="1:25" x14ac:dyDescent="0.25">
      <c r="A11" s="5" t="s">
        <v>3</v>
      </c>
      <c r="B11" s="26">
        <v>0.06</v>
      </c>
      <c r="C11" s="50">
        <v>0.05</v>
      </c>
      <c r="E11" s="13" t="s">
        <v>14</v>
      </c>
      <c r="F11" s="14" t="s">
        <v>5</v>
      </c>
      <c r="G11" s="14" t="s">
        <v>6</v>
      </c>
      <c r="H11" s="14" t="s">
        <v>7</v>
      </c>
      <c r="I11" s="14" t="s">
        <v>8</v>
      </c>
      <c r="J11" s="14" t="s">
        <v>9</v>
      </c>
      <c r="K11" s="14" t="s">
        <v>10</v>
      </c>
      <c r="L11" s="14" t="s">
        <v>11</v>
      </c>
      <c r="M11" s="14" t="s">
        <v>12</v>
      </c>
      <c r="P11" s="10" t="s">
        <v>6</v>
      </c>
      <c r="Q11" s="22"/>
      <c r="R11" s="16">
        <v>3.6499999999999998E-2</v>
      </c>
      <c r="S11" s="16">
        <v>4.2199999999999994E-2</v>
      </c>
      <c r="T11" s="16">
        <v>4.7800000000000002E-2</v>
      </c>
      <c r="U11" s="16">
        <v>5.1699999999999996E-2</v>
      </c>
      <c r="W11" s="29" t="s">
        <v>23</v>
      </c>
      <c r="X11" s="30">
        <v>0.51129999999999998</v>
      </c>
      <c r="Y11" s="30">
        <v>0.2545</v>
      </c>
    </row>
    <row r="12" spans="1:25" x14ac:dyDescent="0.25">
      <c r="A12" s="5" t="s">
        <v>4</v>
      </c>
      <c r="B12" s="6" t="s">
        <v>23</v>
      </c>
      <c r="C12" s="49" t="s">
        <v>22</v>
      </c>
      <c r="E12" s="10" t="s">
        <v>5</v>
      </c>
      <c r="F12" s="15">
        <v>0.90810000000000002</v>
      </c>
      <c r="G12" s="16">
        <v>8.3299999999999999E-2</v>
      </c>
      <c r="H12" s="16">
        <v>6.8000000000000005E-3</v>
      </c>
      <c r="I12" s="16">
        <v>5.9999999999999995E-4</v>
      </c>
      <c r="J12" s="16">
        <v>1.1999999999999999E-3</v>
      </c>
      <c r="K12" s="16">
        <v>0</v>
      </c>
      <c r="L12" s="16">
        <v>0</v>
      </c>
      <c r="M12" s="16">
        <v>0</v>
      </c>
      <c r="P12" s="10" t="s">
        <v>7</v>
      </c>
      <c r="Q12" s="22"/>
      <c r="R12" s="16">
        <v>3.7200000000000004E-2</v>
      </c>
      <c r="S12" s="16">
        <v>4.3200000000000002E-2</v>
      </c>
      <c r="T12" s="16">
        <v>4.9299999999999997E-2</v>
      </c>
      <c r="U12" s="16">
        <v>5.3200000000000004E-2</v>
      </c>
      <c r="W12" s="29" t="s">
        <v>24</v>
      </c>
      <c r="X12" s="30">
        <v>0.38519999999999999</v>
      </c>
      <c r="Y12" s="30">
        <v>0.23810000000000001</v>
      </c>
    </row>
    <row r="13" spans="1:25" x14ac:dyDescent="0.25">
      <c r="A13" s="25" t="s">
        <v>20</v>
      </c>
      <c r="B13" s="46">
        <v>5</v>
      </c>
      <c r="C13" s="51">
        <v>5</v>
      </c>
      <c r="E13" s="10" t="s">
        <v>6</v>
      </c>
      <c r="F13" s="16">
        <v>6.9999999999999993E-3</v>
      </c>
      <c r="G13" s="15">
        <v>0.90649999999999997</v>
      </c>
      <c r="H13" s="16">
        <v>7.7899999999999997E-2</v>
      </c>
      <c r="I13" s="16">
        <v>6.4000000000000003E-3</v>
      </c>
      <c r="J13" s="16">
        <v>5.9999999999999995E-4</v>
      </c>
      <c r="K13" s="16">
        <v>1.4000000000000002E-3</v>
      </c>
      <c r="L13" s="16">
        <v>2.0000000000000001E-4</v>
      </c>
      <c r="M13" s="16">
        <v>0</v>
      </c>
      <c r="P13" s="10" t="s">
        <v>8</v>
      </c>
      <c r="Q13" s="22"/>
      <c r="R13" s="16">
        <v>4.0999999999999995E-2</v>
      </c>
      <c r="S13" s="16">
        <v>4.6699999999999998E-2</v>
      </c>
      <c r="T13" s="16">
        <v>5.2499999999999998E-2</v>
      </c>
      <c r="U13" s="16">
        <v>5.6299999999999996E-2</v>
      </c>
      <c r="W13" s="29" t="s">
        <v>25</v>
      </c>
      <c r="X13" s="30">
        <v>0.32740000000000002</v>
      </c>
      <c r="Y13" s="30">
        <v>0.20180000000000001</v>
      </c>
    </row>
    <row r="14" spans="1:25" x14ac:dyDescent="0.25">
      <c r="E14" s="10" t="s">
        <v>7</v>
      </c>
      <c r="F14" s="16">
        <v>8.9999999999999998E-4</v>
      </c>
      <c r="G14" s="16">
        <v>2.2700000000000001E-2</v>
      </c>
      <c r="H14" s="15">
        <v>0.91049999999999998</v>
      </c>
      <c r="I14" s="16">
        <v>5.5199999999999999E-2</v>
      </c>
      <c r="J14" s="16">
        <v>7.4000000000000003E-3</v>
      </c>
      <c r="K14" s="16">
        <v>2.5999999999999999E-3</v>
      </c>
      <c r="L14" s="16">
        <v>1E-4</v>
      </c>
      <c r="M14" s="16">
        <v>5.9999999999999995E-4</v>
      </c>
      <c r="P14" s="10" t="s">
        <v>9</v>
      </c>
      <c r="Q14" s="22"/>
      <c r="R14" s="16">
        <v>5.5500000000000001E-2</v>
      </c>
      <c r="S14" s="16">
        <v>6.0199999999999997E-2</v>
      </c>
      <c r="T14" s="16">
        <v>6.7799999999999999E-2</v>
      </c>
      <c r="U14" s="16">
        <v>7.2700000000000001E-2</v>
      </c>
      <c r="W14" s="31" t="s">
        <v>26</v>
      </c>
      <c r="X14" s="32">
        <v>0.1709</v>
      </c>
      <c r="Y14" s="32">
        <v>0.109</v>
      </c>
    </row>
    <row r="15" spans="1:25" x14ac:dyDescent="0.25">
      <c r="E15" s="10" t="s">
        <v>8</v>
      </c>
      <c r="F15" s="17">
        <v>2.0000000000000001E-4</v>
      </c>
      <c r="G15" s="17">
        <v>3.3E-3</v>
      </c>
      <c r="H15" s="17">
        <v>5.9500000000000004E-2</v>
      </c>
      <c r="I15" s="18">
        <v>0.86930000000000007</v>
      </c>
      <c r="J15" s="17">
        <v>5.2999999999999999E-2</v>
      </c>
      <c r="K15" s="17">
        <v>1.1699999999999999E-2</v>
      </c>
      <c r="L15" s="17">
        <v>1.1999999999999999E-3</v>
      </c>
      <c r="M15" s="17">
        <v>1.8E-3</v>
      </c>
      <c r="P15" s="10" t="s">
        <v>10</v>
      </c>
      <c r="Q15" s="22"/>
      <c r="R15" s="16">
        <v>6.0499999999999998E-2</v>
      </c>
      <c r="S15" s="16">
        <v>7.0199999999999999E-2</v>
      </c>
      <c r="T15" s="16">
        <v>8.0299999999999996E-2</v>
      </c>
      <c r="U15" s="16">
        <v>8.5199999999999998E-2</v>
      </c>
    </row>
    <row r="16" spans="1:25" x14ac:dyDescent="0.25">
      <c r="E16" s="10" t="s">
        <v>9</v>
      </c>
      <c r="F16" s="16">
        <v>2.9999999999999997E-4</v>
      </c>
      <c r="G16" s="16">
        <v>1.4000000000000002E-3</v>
      </c>
      <c r="H16" s="16">
        <v>6.7000000000000002E-3</v>
      </c>
      <c r="I16" s="16">
        <v>7.7300000000000008E-2</v>
      </c>
      <c r="J16" s="15">
        <v>0.80530000000000002</v>
      </c>
      <c r="K16" s="16">
        <v>8.8399999999999992E-2</v>
      </c>
      <c r="L16" s="16">
        <v>0.01</v>
      </c>
      <c r="M16" s="16">
        <v>1.06E-2</v>
      </c>
      <c r="P16" s="10" t="s">
        <v>11</v>
      </c>
      <c r="Q16" s="22"/>
      <c r="R16" s="16">
        <v>0.15049999999999999</v>
      </c>
      <c r="S16" s="16">
        <v>0.1502</v>
      </c>
      <c r="T16" s="16">
        <v>0.14029999999999998</v>
      </c>
      <c r="U16" s="16">
        <v>0.13519999999999999</v>
      </c>
    </row>
    <row r="17" spans="1:24" x14ac:dyDescent="0.25">
      <c r="E17" s="10" t="s">
        <v>10</v>
      </c>
      <c r="F17" s="16">
        <v>0</v>
      </c>
      <c r="G17" s="16">
        <v>1.1000000000000001E-3</v>
      </c>
      <c r="H17" s="16">
        <v>2.3999999999999998E-3</v>
      </c>
      <c r="I17" s="16">
        <v>4.3E-3</v>
      </c>
      <c r="J17" s="16">
        <v>6.480000000000001E-2</v>
      </c>
      <c r="K17" s="15">
        <v>0.8345999999999999</v>
      </c>
      <c r="L17" s="16">
        <v>4.07E-2</v>
      </c>
      <c r="M17" s="16">
        <v>5.2000000000000005E-2</v>
      </c>
    </row>
    <row r="18" spans="1:24" ht="21" customHeight="1" thickBot="1" x14ac:dyDescent="0.3">
      <c r="E18" s="10" t="s">
        <v>11</v>
      </c>
      <c r="F18" s="16">
        <v>2.2000000000000001E-3</v>
      </c>
      <c r="G18" s="16">
        <v>0</v>
      </c>
      <c r="H18" s="16">
        <v>2.2000000000000001E-3</v>
      </c>
      <c r="I18" s="16">
        <v>1.3000000000000001E-2</v>
      </c>
      <c r="J18" s="16">
        <v>2.3799999999999998E-2</v>
      </c>
      <c r="K18" s="16">
        <v>0.1124</v>
      </c>
      <c r="L18" s="15">
        <v>0.64859999999999995</v>
      </c>
      <c r="M18" s="16">
        <v>0.19789999999999999</v>
      </c>
    </row>
    <row r="19" spans="1:24" ht="15.75" thickBot="1" x14ac:dyDescent="0.3">
      <c r="T19" s="96" t="str">
        <f>C10</f>
        <v>A</v>
      </c>
    </row>
    <row r="20" spans="1:24" ht="15" customHeight="1" thickBot="1" x14ac:dyDescent="0.3">
      <c r="B20" t="s">
        <v>55</v>
      </c>
      <c r="E20" s="63" t="str">
        <f>CONCATENATE(B8,"-",B10)</f>
        <v>Obligation 1-BBB</v>
      </c>
      <c r="F20" s="64" t="s">
        <v>40</v>
      </c>
      <c r="G20" s="64" t="s">
        <v>41</v>
      </c>
      <c r="H20" s="65" t="s">
        <v>42</v>
      </c>
      <c r="J20" s="63" t="str">
        <f>CONCATENATE(C8,"-",C10)</f>
        <v>Obligation 2-A</v>
      </c>
      <c r="K20" s="64" t="s">
        <v>40</v>
      </c>
      <c r="L20" s="64" t="s">
        <v>41</v>
      </c>
      <c r="M20" s="65" t="s">
        <v>42</v>
      </c>
    </row>
    <row r="21" spans="1:24" x14ac:dyDescent="0.25">
      <c r="E21" s="62" t="s">
        <v>5</v>
      </c>
      <c r="F21" s="66">
        <v>2.0000000000000001E-4</v>
      </c>
      <c r="G21" s="67">
        <f>100%</f>
        <v>1</v>
      </c>
      <c r="H21" s="68">
        <v>9.9</v>
      </c>
      <c r="J21" s="62" t="s">
        <v>5</v>
      </c>
      <c r="K21" s="66">
        <v>8.9999999999999998E-4</v>
      </c>
      <c r="L21" s="67">
        <f>100%</f>
        <v>1</v>
      </c>
      <c r="M21" s="68">
        <v>9.9</v>
      </c>
      <c r="P21" s="34" t="s">
        <v>29</v>
      </c>
      <c r="Q21" s="35" t="s">
        <v>5</v>
      </c>
      <c r="R21" s="35" t="s">
        <v>6</v>
      </c>
      <c r="S21" s="35" t="s">
        <v>7</v>
      </c>
      <c r="T21" s="35" t="s">
        <v>8</v>
      </c>
      <c r="U21" s="35" t="s">
        <v>9</v>
      </c>
      <c r="V21" s="35" t="s">
        <v>10</v>
      </c>
      <c r="W21" s="35" t="s">
        <v>11</v>
      </c>
      <c r="X21" s="36" t="s">
        <v>12</v>
      </c>
    </row>
    <row r="22" spans="1:24" x14ac:dyDescent="0.25">
      <c r="E22" s="61" t="s">
        <v>6</v>
      </c>
      <c r="F22" s="69">
        <v>3.3E-3</v>
      </c>
      <c r="G22" s="70">
        <f>G21-F21</f>
        <v>0.99980000000000002</v>
      </c>
      <c r="H22" s="71">
        <f>NORMSINV(G22)</f>
        <v>3.5400837992061742</v>
      </c>
      <c r="J22" s="61" t="s">
        <v>6</v>
      </c>
      <c r="K22" s="69">
        <v>2.2700000000000001E-2</v>
      </c>
      <c r="L22" s="70">
        <f>L21-K21</f>
        <v>0.99909999999999999</v>
      </c>
      <c r="M22" s="71">
        <f t="shared" ref="M22:M27" si="0">NORMSINV(L22)</f>
        <v>3.1213891493598616</v>
      </c>
      <c r="P22" s="34" t="s">
        <v>30</v>
      </c>
      <c r="Q22" s="37">
        <f>F14</f>
        <v>8.9999999999999998E-4</v>
      </c>
      <c r="R22" s="37">
        <f t="shared" ref="R22:X22" si="1">G14</f>
        <v>2.2700000000000001E-2</v>
      </c>
      <c r="S22" s="37">
        <f t="shared" si="1"/>
        <v>0.91049999999999998</v>
      </c>
      <c r="T22" s="37">
        <f t="shared" si="1"/>
        <v>5.5199999999999999E-2</v>
      </c>
      <c r="U22" s="37">
        <f t="shared" si="1"/>
        <v>7.4000000000000003E-3</v>
      </c>
      <c r="V22" s="37">
        <f t="shared" si="1"/>
        <v>2.5999999999999999E-3</v>
      </c>
      <c r="W22" s="37">
        <f t="shared" si="1"/>
        <v>1E-4</v>
      </c>
      <c r="X22" s="38">
        <f t="shared" si="1"/>
        <v>5.9999999999999995E-4</v>
      </c>
    </row>
    <row r="23" spans="1:24" x14ac:dyDescent="0.25">
      <c r="E23" s="61" t="s">
        <v>7</v>
      </c>
      <c r="F23" s="69">
        <v>5.9500000000000004E-2</v>
      </c>
      <c r="G23" s="70">
        <f t="shared" ref="G23:G28" si="2">G22-F22</f>
        <v>0.99650000000000005</v>
      </c>
      <c r="H23" s="71">
        <f t="shared" ref="H23:H27" si="3">NORMSINV(G23)</f>
        <v>2.6968442608781307</v>
      </c>
      <c r="J23" s="61" t="s">
        <v>7</v>
      </c>
      <c r="K23" s="72">
        <v>0.91049999999999998</v>
      </c>
      <c r="L23" s="70">
        <f t="shared" ref="L23:L28" si="4">L22-K22</f>
        <v>0.97639999999999993</v>
      </c>
      <c r="M23" s="71">
        <f t="shared" si="0"/>
        <v>1.9845011501354202</v>
      </c>
      <c r="P23" s="31" t="s">
        <v>31</v>
      </c>
      <c r="Q23" s="41">
        <f>C9*C11+C9*C11/((1+R10)^R9)+C9*C11/((1+S10)^S9)+C9*C11/((1+T10)^T9)+(C9*C11+C9)/((1+U10)^U9)</f>
        <v>104.77662783485506</v>
      </c>
      <c r="R23" s="41">
        <f>C9*C11+C9*C11/((1+R11)^R9)+C9*C11/((1+S11)^S9)+C9*C11/((1+T11)^T9)+(C9*C11+C9)/((1+U11)^U9)</f>
        <v>104.60024229590204</v>
      </c>
      <c r="S23" s="41">
        <f>C9*C11+C9*C11/((1+R12)^R9)+C9*C11/((1+S12)^S9)+C9*C11/((1+T12)^T9)+(C9*C11+C9)/((1+U12)^U9)</f>
        <v>104.08164822857877</v>
      </c>
      <c r="T23" s="41">
        <f>C9*C11+C9*C11/((1+R13)^R9)+C9*C11/((1+S13)^S9)+C9*C11/((1+T13)^T9)+(C9*C11+C9)/((1+U13)^U9)</f>
        <v>102.99662440776909</v>
      </c>
      <c r="U23" s="41">
        <f>C9*C11+C9*C11/((1+R14)^R9)+C9*C11/((1+S14)^S9)+C9*C11/((1+T14)^T9)+(C9*C11+C9)/((1+U14)^U9)</f>
        <v>97.592709496704344</v>
      </c>
      <c r="V23" s="41">
        <f>C9*C11+C9*C11/((1+R15)^R9)+C9*C11/((1+S15)^S9)+C9*C11/((1+T15)^T9)+(C9*C11+C9)/((1+U15)^U9)</f>
        <v>93.755635867512581</v>
      </c>
      <c r="W23" s="41">
        <f>C9*C11+C9*C11/((1+R16)^R9)+C9*C11/((1+S16)^S9)+C9*C11/((1+T16)^T9)+(C9*C11+C9)/((1+U16)^U9)</f>
        <v>79.724126220314034</v>
      </c>
      <c r="X23" s="40">
        <f>X10*C9</f>
        <v>53.800000000000004</v>
      </c>
    </row>
    <row r="24" spans="1:24" x14ac:dyDescent="0.25">
      <c r="E24" s="61" t="s">
        <v>8</v>
      </c>
      <c r="F24" s="72">
        <v>0.86930000000000007</v>
      </c>
      <c r="G24" s="70">
        <f t="shared" si="2"/>
        <v>0.93700000000000006</v>
      </c>
      <c r="H24" s="71">
        <f t="shared" si="3"/>
        <v>1.5300675881378289</v>
      </c>
      <c r="J24" s="61" t="s">
        <v>8</v>
      </c>
      <c r="K24" s="69">
        <v>5.5199999999999999E-2</v>
      </c>
      <c r="L24" s="70">
        <f t="shared" si="4"/>
        <v>6.5899999999999959E-2</v>
      </c>
      <c r="M24" s="71">
        <f t="shared" si="0"/>
        <v>-1.5070415784970754</v>
      </c>
    </row>
    <row r="25" spans="1:24" x14ac:dyDescent="0.25">
      <c r="E25" s="61" t="s">
        <v>9</v>
      </c>
      <c r="F25" s="69">
        <v>5.2999999999999999E-2</v>
      </c>
      <c r="G25" s="70">
        <f t="shared" si="2"/>
        <v>6.7699999999999982E-2</v>
      </c>
      <c r="H25" s="71">
        <f t="shared" si="3"/>
        <v>-1.4931420783259008</v>
      </c>
      <c r="J25" s="61" t="s">
        <v>9</v>
      </c>
      <c r="K25" s="69">
        <v>7.4000000000000003E-3</v>
      </c>
      <c r="L25" s="70">
        <f t="shared" si="4"/>
        <v>1.069999999999996E-2</v>
      </c>
      <c r="M25" s="71">
        <f t="shared" si="0"/>
        <v>-2.3008519653402164</v>
      </c>
    </row>
    <row r="26" spans="1:24" x14ac:dyDescent="0.25">
      <c r="E26" s="61" t="s">
        <v>10</v>
      </c>
      <c r="F26" s="69">
        <v>1.1699999999999999E-2</v>
      </c>
      <c r="G26" s="70">
        <f t="shared" si="2"/>
        <v>1.4699999999999984E-2</v>
      </c>
      <c r="H26" s="71">
        <f t="shared" si="3"/>
        <v>-2.1780810922893408</v>
      </c>
      <c r="J26" s="61" t="s">
        <v>10</v>
      </c>
      <c r="K26" s="69">
        <v>2.5999999999999999E-3</v>
      </c>
      <c r="L26" s="70">
        <f t="shared" si="4"/>
        <v>3.2999999999999592E-3</v>
      </c>
      <c r="M26" s="71">
        <f t="shared" si="0"/>
        <v>-2.7163805834608694</v>
      </c>
    </row>
    <row r="27" spans="1:24" x14ac:dyDescent="0.25">
      <c r="E27" s="61" t="s">
        <v>11</v>
      </c>
      <c r="F27" s="69">
        <v>1.1999999999999999E-3</v>
      </c>
      <c r="G27" s="70">
        <f t="shared" si="2"/>
        <v>2.9999999999999853E-3</v>
      </c>
      <c r="H27" s="71">
        <f t="shared" si="3"/>
        <v>-2.7477813854449948</v>
      </c>
      <c r="J27" s="61" t="s">
        <v>11</v>
      </c>
      <c r="K27" s="69">
        <v>1E-4</v>
      </c>
      <c r="L27" s="70">
        <f t="shared" si="4"/>
        <v>6.9999999999995934E-4</v>
      </c>
      <c r="M27" s="71">
        <f t="shared" si="0"/>
        <v>-3.1946510537633026</v>
      </c>
    </row>
    <row r="28" spans="1:24" x14ac:dyDescent="0.25">
      <c r="E28" s="61" t="s">
        <v>12</v>
      </c>
      <c r="F28" s="69">
        <v>1.8E-3</v>
      </c>
      <c r="G28" s="70">
        <f t="shared" si="2"/>
        <v>1.7999999999999854E-3</v>
      </c>
      <c r="H28" s="71">
        <f>NORMSINV(G28)</f>
        <v>-2.9112377262430083</v>
      </c>
      <c r="J28" s="61" t="s">
        <v>12</v>
      </c>
      <c r="K28" s="69">
        <v>5.9999999999999995E-4</v>
      </c>
      <c r="L28" s="70">
        <f t="shared" si="4"/>
        <v>5.9999999999995929E-4</v>
      </c>
      <c r="M28" s="71">
        <f>NORMSINV(L28)</f>
        <v>-3.2388801183529967</v>
      </c>
    </row>
    <row r="30" spans="1:24" ht="15.75" x14ac:dyDescent="0.25">
      <c r="E30" s="9" t="s">
        <v>43</v>
      </c>
      <c r="L30" s="79">
        <f>NORMSDIST(9.9)</f>
        <v>1</v>
      </c>
      <c r="Q30" s="81" t="s">
        <v>53</v>
      </c>
    </row>
    <row r="31" spans="1:24" ht="16.5" thickBot="1" x14ac:dyDescent="0.3">
      <c r="B31" s="80" t="s">
        <v>44</v>
      </c>
      <c r="E31" s="9"/>
    </row>
    <row r="32" spans="1:24" ht="19.5" thickBot="1" x14ac:dyDescent="0.35">
      <c r="A32" s="81" t="s">
        <v>45</v>
      </c>
      <c r="G32" s="54" t="s">
        <v>47</v>
      </c>
      <c r="H32" s="53">
        <v>0.2</v>
      </c>
      <c r="I32" s="81" t="str">
        <f>IF(OR(H32&gt;1,H32&lt;0),"Rapport de correlation invalide","")</f>
        <v/>
      </c>
    </row>
    <row r="34" spans="1:14" x14ac:dyDescent="0.25">
      <c r="E34" s="107" t="str">
        <f>CONCATENATE(B8,"-",B10)</f>
        <v>Obligation 1-BBB</v>
      </c>
      <c r="F34" s="108"/>
      <c r="G34" s="113" t="str">
        <f>CONCATENATE(C8,"-",C10)</f>
        <v>Obligation 2-A</v>
      </c>
      <c r="H34" s="113"/>
      <c r="I34" s="113"/>
      <c r="J34" s="113"/>
      <c r="K34" s="113"/>
      <c r="L34" s="113"/>
      <c r="M34" s="113"/>
      <c r="N34" s="114"/>
    </row>
    <row r="35" spans="1:14" x14ac:dyDescent="0.25">
      <c r="E35" s="109"/>
      <c r="F35" s="110"/>
      <c r="G35" s="73" t="s">
        <v>5</v>
      </c>
      <c r="H35" s="73" t="s">
        <v>6</v>
      </c>
      <c r="I35" s="73" t="s">
        <v>7</v>
      </c>
      <c r="J35" s="73" t="s">
        <v>8</v>
      </c>
      <c r="K35" s="73" t="s">
        <v>9</v>
      </c>
      <c r="L35" s="73" t="s">
        <v>10</v>
      </c>
      <c r="M35" s="73" t="s">
        <v>11</v>
      </c>
      <c r="N35" s="74" t="s">
        <v>12</v>
      </c>
    </row>
    <row r="36" spans="1:14" x14ac:dyDescent="0.25">
      <c r="E36" s="111"/>
      <c r="F36" s="112"/>
      <c r="G36" s="82">
        <v>9.9</v>
      </c>
      <c r="H36" s="82">
        <f>INDEX($K$21:$M$28,COLUMN(I35)-7,3)</f>
        <v>3.1213891493598616</v>
      </c>
      <c r="I36" s="82">
        <f t="shared" ref="I36:N36" si="5">INDEX($K$21:$M$28,COLUMN(J35)-7,3)</f>
        <v>1.9845011501354202</v>
      </c>
      <c r="J36" s="82">
        <f t="shared" si="5"/>
        <v>-1.5070415784970754</v>
      </c>
      <c r="K36" s="82">
        <f t="shared" si="5"/>
        <v>-2.3008519653402164</v>
      </c>
      <c r="L36" s="82">
        <f t="shared" si="5"/>
        <v>-2.7163805834608694</v>
      </c>
      <c r="M36" s="82">
        <f t="shared" si="5"/>
        <v>-3.1946510537633026</v>
      </c>
      <c r="N36" s="84">
        <f t="shared" si="5"/>
        <v>-3.2388801183529967</v>
      </c>
    </row>
    <row r="37" spans="1:14" x14ac:dyDescent="0.25">
      <c r="E37" s="75" t="s">
        <v>5</v>
      </c>
      <c r="F37" s="83">
        <v>9.9</v>
      </c>
      <c r="G37" s="85">
        <f>1/(2*PI()*SQRT(1-1*$H$32^2))*EXP((-1* G$36^2+2*$H$32*G$36*$F37-1*$F37^2)/(2*(1-1*$H$32^2)))</f>
        <v>5.4913952747119128E-37</v>
      </c>
      <c r="H37" s="85">
        <f>1/(2*PI()*SQRT(1-1*$H$32^2))*EXP((-1* H$36^2+2*$H$32*H$36*$F37-1*$F37^2)/(2*(1-1*$H$32^2)))</f>
        <v>4.2993568845358207E-23</v>
      </c>
      <c r="I37" s="85">
        <f t="shared" ref="I37:N44" si="6">1/(2*PI()*SQRT(1-1*$H$32^2))*EXP((-1* I$36^2+2*$H$32*I$36*$F37-1*$F37^2)/(2*(1-1*$H$32^2)))</f>
        <v>8.4738124321409467E-23</v>
      </c>
      <c r="J37" s="85">
        <f t="shared" si="6"/>
        <v>1.5054768753966442E-25</v>
      </c>
      <c r="K37" s="85">
        <f t="shared" si="6"/>
        <v>6.0659998518131912E-27</v>
      </c>
      <c r="L37" s="85">
        <f t="shared" si="6"/>
        <v>8.6921597264214982E-28</v>
      </c>
      <c r="M37" s="85">
        <f t="shared" si="6"/>
        <v>7.4345675569518595E-29</v>
      </c>
      <c r="N37" s="85">
        <f t="shared" si="6"/>
        <v>5.851601186801925E-29</v>
      </c>
    </row>
    <row r="38" spans="1:14" x14ac:dyDescent="0.25">
      <c r="E38" s="76" t="s">
        <v>6</v>
      </c>
      <c r="F38" s="83">
        <f t="shared" ref="F38:F44" si="7">INDEX($F$21:$H$28,ROW(E38)-36,3)</f>
        <v>3.5400837992061742</v>
      </c>
      <c r="G38" s="85">
        <f t="shared" ref="G38:H44" si="8">1/(2*PI()*SQRT(1-1*$H$32^2))*EXP((-1* G$36^2+2*$H$32*G$36*$F38-1*$F38^2)/(2*(1-1*$H$32^2)))</f>
        <v>2.3853715356303371E-23</v>
      </c>
      <c r="H38" s="85">
        <f t="shared" si="8"/>
        <v>1.4856295673486852E-5</v>
      </c>
      <c r="I38" s="85">
        <f t="shared" si="6"/>
        <v>1.320651742618733E-4</v>
      </c>
      <c r="J38" s="85">
        <f t="shared" si="6"/>
        <v>2.3962442527798706E-5</v>
      </c>
      <c r="K38" s="85">
        <f t="shared" si="6"/>
        <v>2.7640364801828688E-6</v>
      </c>
      <c r="L38" s="85">
        <f t="shared" si="6"/>
        <v>6.868751258795207E-7</v>
      </c>
      <c r="M38" s="85">
        <f t="shared" si="6"/>
        <v>1.1071799859554511E-7</v>
      </c>
      <c r="N38" s="85">
        <f t="shared" si="6"/>
        <v>9.2403427279748629E-8</v>
      </c>
    </row>
    <row r="39" spans="1:14" x14ac:dyDescent="0.25">
      <c r="E39" s="76" t="s">
        <v>7</v>
      </c>
      <c r="F39" s="83">
        <f t="shared" si="7"/>
        <v>2.6968442608781307</v>
      </c>
      <c r="G39" s="85">
        <f t="shared" si="8"/>
        <v>6.484097801272399E-23</v>
      </c>
      <c r="H39" s="85">
        <f t="shared" si="8"/>
        <v>1.3285433873626423E-4</v>
      </c>
      <c r="I39" s="85">
        <f>1/(2*PI()*SQRT(1-1*$H$32^2))*EXP((-1* I$36^2+2*$H$32*I$36*$F39-1*$F39^2)/(2*(1-1*$H$32^2)))</f>
        <v>1.442088716463149E-3</v>
      </c>
      <c r="J39" s="85">
        <f t="shared" si="6"/>
        <v>4.8319313395628479E-4</v>
      </c>
      <c r="K39" s="85">
        <f t="shared" si="6"/>
        <v>6.4076225273228661E-5</v>
      </c>
      <c r="L39" s="85">
        <f t="shared" si="6"/>
        <v>1.7129060574255716E-5</v>
      </c>
      <c r="M39" s="85">
        <f t="shared" si="6"/>
        <v>3.0030561768963035E-6</v>
      </c>
      <c r="N39" s="85">
        <f t="shared" si="6"/>
        <v>2.5258511289829165E-6</v>
      </c>
    </row>
    <row r="40" spans="1:14" x14ac:dyDescent="0.25">
      <c r="E40" s="76" t="s">
        <v>8</v>
      </c>
      <c r="F40" s="83">
        <f t="shared" si="7"/>
        <v>1.5300675881378289</v>
      </c>
      <c r="G40" s="85">
        <f>1/(2*PI()*SQRT(1-1*$H$32^2))*EXP((-1* G$36^2+2*$H$32*G$36*$F40-1*$F40^2)/(2*(1-1*$H$32^2)))</f>
        <v>7.6259278419002016E-23</v>
      </c>
      <c r="H40" s="85">
        <f t="shared" si="8"/>
        <v>8.1174724782822564E-4</v>
      </c>
      <c r="I40" s="85">
        <f t="shared" si="6"/>
        <v>1.1615974345487215E-2</v>
      </c>
      <c r="J40" s="85">
        <f t="shared" si="6"/>
        <v>9.0944898938223537E-3</v>
      </c>
      <c r="K40" s="85">
        <f t="shared" si="6"/>
        <v>1.4626997889006393E-3</v>
      </c>
      <c r="L40" s="85">
        <f t="shared" si="6"/>
        <v>4.3257179606979068E-4</v>
      </c>
      <c r="M40" s="85">
        <f t="shared" si="6"/>
        <v>8.5187916340619997E-5</v>
      </c>
      <c r="N40" s="85">
        <f t="shared" si="6"/>
        <v>7.2425490869339803E-5</v>
      </c>
    </row>
    <row r="41" spans="1:14" x14ac:dyDescent="0.25">
      <c r="E41" s="76" t="s">
        <v>9</v>
      </c>
      <c r="F41" s="83">
        <f t="shared" si="7"/>
        <v>-1.4931420783259008</v>
      </c>
      <c r="G41" s="85">
        <f t="shared" si="8"/>
        <v>1.5832769629722008E-25</v>
      </c>
      <c r="H41" s="85">
        <f t="shared" si="8"/>
        <v>1.2046632824362142E-4</v>
      </c>
      <c r="I41" s="85">
        <f>1/(2*PI()*SQRT(1-1*$H$32^2))*EXP((-1* I$36^2+2*$H$32*I$36*$F41-1*$F41^2)/(2*(1-1*$H$32^2)))</f>
        <v>3.5275894308126115E-3</v>
      </c>
      <c r="J41" s="85">
        <f t="shared" si="6"/>
        <v>2.4903273432788545E-2</v>
      </c>
      <c r="K41" s="85">
        <f t="shared" si="6"/>
        <v>6.603397393749713E-3</v>
      </c>
      <c r="L41" s="85">
        <f t="shared" si="6"/>
        <v>2.537065307169861E-3</v>
      </c>
      <c r="M41" s="85">
        <f t="shared" si="6"/>
        <v>6.7526569158265451E-4</v>
      </c>
      <c r="N41" s="85">
        <f t="shared" si="6"/>
        <v>5.9031835923901543E-4</v>
      </c>
    </row>
    <row r="42" spans="1:14" x14ac:dyDescent="0.25">
      <c r="E42" s="76" t="s">
        <v>10</v>
      </c>
      <c r="F42" s="83">
        <f t="shared" si="7"/>
        <v>-2.1780810922893408</v>
      </c>
      <c r="G42" s="85">
        <f t="shared" si="8"/>
        <v>1.0405260101626865E-26</v>
      </c>
      <c r="H42" s="85">
        <f t="shared" si="8"/>
        <v>2.0827890059461296E-5</v>
      </c>
      <c r="I42" s="85">
        <f t="shared" si="6"/>
        <v>7.173197233085024E-4</v>
      </c>
      <c r="J42" s="85">
        <f t="shared" si="6"/>
        <v>8.3342936162405356E-3</v>
      </c>
      <c r="K42" s="85">
        <f t="shared" si="6"/>
        <v>2.4749917194205368E-3</v>
      </c>
      <c r="L42" s="85">
        <f t="shared" si="6"/>
        <v>1.0089951315728931E-3</v>
      </c>
      <c r="M42" s="85">
        <f t="shared" si="6"/>
        <v>2.8752224462102804E-4</v>
      </c>
      <c r="N42" s="85">
        <f t="shared" si="6"/>
        <v>2.5294378660302945E-4</v>
      </c>
    </row>
    <row r="43" spans="1:14" x14ac:dyDescent="0.25">
      <c r="E43" s="76" t="s">
        <v>11</v>
      </c>
      <c r="F43" s="83">
        <f t="shared" si="7"/>
        <v>-2.7477813854449948</v>
      </c>
      <c r="G43" s="85">
        <f t="shared" si="8"/>
        <v>7.4505897212660851E-28</v>
      </c>
      <c r="H43" s="85">
        <f t="shared" si="8"/>
        <v>3.334178700482902E-6</v>
      </c>
      <c r="I43" s="85">
        <f t="shared" si="6"/>
        <v>1.3141884971874579E-4</v>
      </c>
      <c r="J43" s="85">
        <f t="shared" si="6"/>
        <v>2.3109283888471635E-3</v>
      </c>
      <c r="K43" s="85">
        <f t="shared" si="6"/>
        <v>7.5406481684266332E-4</v>
      </c>
      <c r="L43" s="85">
        <f t="shared" si="6"/>
        <v>3.229554127163215E-4</v>
      </c>
      <c r="M43" s="85">
        <f t="shared" si="6"/>
        <v>9.740417388133265E-5</v>
      </c>
      <c r="N43" s="85">
        <f t="shared" si="6"/>
        <v>8.6141005239118236E-5</v>
      </c>
    </row>
    <row r="44" spans="1:14" x14ac:dyDescent="0.25">
      <c r="A44" s="81" t="s">
        <v>46</v>
      </c>
      <c r="E44" s="77" t="s">
        <v>12</v>
      </c>
      <c r="F44" s="83">
        <f t="shared" si="7"/>
        <v>-2.9112377262430083</v>
      </c>
      <c r="G44" s="85">
        <f t="shared" si="8"/>
        <v>3.2850843165137077E-28</v>
      </c>
      <c r="H44" s="85">
        <f t="shared" si="8"/>
        <v>1.8518039844422872E-6</v>
      </c>
      <c r="I44" s="85">
        <f t="shared" si="6"/>
        <v>7.5871290898126245E-5</v>
      </c>
      <c r="J44" s="85">
        <f t="shared" si="6"/>
        <v>1.5026002015715132E-3</v>
      </c>
      <c r="K44" s="85">
        <f t="shared" si="6"/>
        <v>5.0373886345764988E-4</v>
      </c>
      <c r="L44" s="85">
        <f t="shared" si="6"/>
        <v>2.1881882712906567E-4</v>
      </c>
      <c r="M44" s="85">
        <f t="shared" si="6"/>
        <v>6.707998020856724E-5</v>
      </c>
      <c r="N44" s="85">
        <f t="shared" si="6"/>
        <v>5.9412716075240038E-5</v>
      </c>
    </row>
    <row r="45" spans="1:14" x14ac:dyDescent="0.25">
      <c r="A45" s="81"/>
      <c r="E45" s="87"/>
      <c r="F45" s="44"/>
      <c r="G45" s="88"/>
      <c r="H45" s="88"/>
      <c r="I45" s="88"/>
      <c r="J45" s="88"/>
      <c r="K45" s="88"/>
      <c r="L45" s="88"/>
      <c r="M45" s="88"/>
      <c r="N45" s="88"/>
    </row>
    <row r="47" spans="1:14" x14ac:dyDescent="0.25">
      <c r="G47" s="115" t="s">
        <v>54</v>
      </c>
      <c r="H47" s="115"/>
      <c r="I47" s="115"/>
      <c r="J47" s="115"/>
      <c r="K47" s="115"/>
      <c r="L47" s="115"/>
      <c r="M47" s="115"/>
      <c r="N47" s="115"/>
    </row>
    <row r="48" spans="1:14" x14ac:dyDescent="0.25">
      <c r="E48" s="75" t="s">
        <v>5</v>
      </c>
      <c r="F48" s="83">
        <f>F37</f>
        <v>9.9</v>
      </c>
      <c r="G48" s="86">
        <f>BIVAR(G$36,$F37,$H$32)</f>
        <v>1</v>
      </c>
      <c r="H48" s="86">
        <f t="shared" ref="H48:N48" si="9">BIVAR(H$36,$F37,$H$32)</f>
        <v>0.99909993256485607</v>
      </c>
      <c r="I48" s="86">
        <f t="shared" si="9"/>
        <v>0.97640006898819798</v>
      </c>
      <c r="J48" s="86">
        <f t="shared" si="9"/>
        <v>6.5900028688904239E-2</v>
      </c>
      <c r="K48" s="86">
        <f t="shared" si="9"/>
        <v>1.0699971735186499E-2</v>
      </c>
      <c r="L48" s="86">
        <f t="shared" si="9"/>
        <v>3.3000515341342095E-3</v>
      </c>
      <c r="M48" s="86">
        <f t="shared" si="9"/>
        <v>7.0006443894901225E-4</v>
      </c>
      <c r="N48" s="86">
        <f t="shared" si="9"/>
        <v>6.0006211390886233E-4</v>
      </c>
    </row>
    <row r="49" spans="2:14" x14ac:dyDescent="0.25">
      <c r="E49" s="76" t="s">
        <v>6</v>
      </c>
      <c r="F49" s="83">
        <f t="shared" ref="F49:F55" si="10">F38</f>
        <v>3.5400837992061742</v>
      </c>
      <c r="G49" s="86">
        <f t="shared" ref="G49:N49" si="11">BIVAR(G$36,$F38,$H$32)</f>
        <v>0.99979995860498216</v>
      </c>
      <c r="H49" s="86">
        <f t="shared" si="11"/>
        <v>0.99890144765248845</v>
      </c>
      <c r="I49" s="86">
        <f t="shared" si="11"/>
        <v>0.97622083115421909</v>
      </c>
      <c r="J49" s="86">
        <f t="shared" si="11"/>
        <v>6.5897964897357414E-2</v>
      </c>
      <c r="K49" s="86">
        <f t="shared" si="11"/>
        <v>1.0699793581459826E-2</v>
      </c>
      <c r="L49" s="86">
        <f t="shared" si="11"/>
        <v>3.3000128408974586E-3</v>
      </c>
      <c r="M49" s="86">
        <f t="shared" si="11"/>
        <v>7.0005904224842736E-4</v>
      </c>
      <c r="N49" s="86">
        <f t="shared" si="11"/>
        <v>6.0005766774295574E-4</v>
      </c>
    </row>
    <row r="50" spans="2:14" x14ac:dyDescent="0.25">
      <c r="E50" s="76" t="s">
        <v>7</v>
      </c>
      <c r="F50" s="83">
        <f t="shared" si="10"/>
        <v>2.6968442608781307</v>
      </c>
      <c r="G50" s="86">
        <f t="shared" ref="G50:N50" si="12">BIVAR(G$36,$F39,$H$32)</f>
        <v>0.99649995100395428</v>
      </c>
      <c r="H50" s="86">
        <f t="shared" si="12"/>
        <v>0.99561750691906648</v>
      </c>
      <c r="I50" s="86">
        <f t="shared" si="12"/>
        <v>0.97317572852042167</v>
      </c>
      <c r="J50" s="86">
        <f t="shared" si="12"/>
        <v>6.5844743208502893E-2</v>
      </c>
      <c r="K50" s="86">
        <f t="shared" si="12"/>
        <v>1.0694575267163138E-2</v>
      </c>
      <c r="L50" s="86">
        <f t="shared" si="12"/>
        <v>3.2987992350925329E-3</v>
      </c>
      <c r="M50" s="86">
        <f t="shared" si="12"/>
        <v>6.9987571220762076E-4</v>
      </c>
      <c r="N50" s="86">
        <f t="shared" si="12"/>
        <v>5.9990550168858973E-4</v>
      </c>
    </row>
    <row r="51" spans="2:14" x14ac:dyDescent="0.25">
      <c r="E51" s="76" t="s">
        <v>8</v>
      </c>
      <c r="F51" s="83">
        <f t="shared" si="10"/>
        <v>1.5300675881378289</v>
      </c>
      <c r="G51" s="86">
        <f t="shared" ref="G51:N51" si="13">BIVAR(G$36,$F40,$H$32)</f>
        <v>0.93699997814709568</v>
      </c>
      <c r="H51" s="86">
        <f t="shared" si="13"/>
        <v>0.93627223852045649</v>
      </c>
      <c r="I51" s="86">
        <f t="shared" si="13"/>
        <v>0.91671380892295495</v>
      </c>
      <c r="J51" s="86">
        <f t="shared" si="13"/>
        <v>6.4225840801412901E-2</v>
      </c>
      <c r="K51" s="86">
        <f t="shared" si="13"/>
        <v>1.0507841159177567E-2</v>
      </c>
      <c r="L51" s="86">
        <f t="shared" si="13"/>
        <v>3.2513792644025211E-3</v>
      </c>
      <c r="M51" s="86">
        <f t="shared" si="13"/>
        <v>6.9193429120559865E-4</v>
      </c>
      <c r="N51" s="86">
        <f t="shared" si="13"/>
        <v>5.9325028373240045E-4</v>
      </c>
    </row>
    <row r="52" spans="2:14" x14ac:dyDescent="0.25">
      <c r="E52" s="76" t="s">
        <v>9</v>
      </c>
      <c r="F52" s="83">
        <f t="shared" si="10"/>
        <v>-1.4931420783259008</v>
      </c>
      <c r="G52" s="86">
        <f t="shared" ref="G52:N52" si="14">BIVAR(G$36,$F41,$H$32)</f>
        <v>6.7700032699952103E-2</v>
      </c>
      <c r="H52" s="86">
        <f t="shared" si="14"/>
        <v>6.7688071679038703E-2</v>
      </c>
      <c r="I52" s="86">
        <f t="shared" si="14"/>
        <v>6.7165135994965805E-2</v>
      </c>
      <c r="J52" s="86">
        <f t="shared" si="14"/>
        <v>8.6007161287131768E-3</v>
      </c>
      <c r="K52" s="86">
        <f t="shared" si="14"/>
        <v>1.7386301998572281E-3</v>
      </c>
      <c r="L52" s="86">
        <f t="shared" si="14"/>
        <v>5.9963347936877311E-4</v>
      </c>
      <c r="M52" s="86">
        <f t="shared" si="14"/>
        <v>1.4398832210021892E-4</v>
      </c>
      <c r="N52" s="86">
        <f t="shared" si="14"/>
        <v>1.2480442990240584E-4</v>
      </c>
    </row>
    <row r="53" spans="2:14" x14ac:dyDescent="0.25">
      <c r="E53" s="76" t="s">
        <v>10</v>
      </c>
      <c r="F53" s="83">
        <f t="shared" si="10"/>
        <v>-2.1780810922893408</v>
      </c>
      <c r="G53" s="86">
        <f t="shared" ref="G53:N53" si="15">BIVAR(G$36,$F42,$H$32)</f>
        <v>1.4699948380883355E-2</v>
      </c>
      <c r="H53" s="86">
        <f t="shared" si="15"/>
        <v>1.4698354709982708E-2</v>
      </c>
      <c r="I53" s="86">
        <f t="shared" si="15"/>
        <v>1.4618061742403642E-2</v>
      </c>
      <c r="J53" s="86">
        <f t="shared" si="15"/>
        <v>2.260042670727094E-3</v>
      </c>
      <c r="K53" s="86">
        <f t="shared" si="15"/>
        <v>4.9484053841441394E-4</v>
      </c>
      <c r="L53" s="86">
        <f t="shared" si="15"/>
        <v>1.7821031489834171E-4</v>
      </c>
      <c r="M53" s="86">
        <f t="shared" si="15"/>
        <v>4.5003750889166556E-5</v>
      </c>
      <c r="N53" s="86">
        <f t="shared" si="15"/>
        <v>3.9190610314714276E-5</v>
      </c>
    </row>
    <row r="54" spans="2:14" x14ac:dyDescent="0.25">
      <c r="E54" s="76" t="s">
        <v>11</v>
      </c>
      <c r="F54" s="83">
        <f t="shared" si="10"/>
        <v>-2.7477813854449948</v>
      </c>
      <c r="G54" s="86">
        <f t="shared" ref="G54:N54" si="16">BIVAR(G$36,$F43,$H$32)</f>
        <v>3.0000552515901282E-3</v>
      </c>
      <c r="H54" s="86">
        <f t="shared" si="16"/>
        <v>2.9998444104880838E-3</v>
      </c>
      <c r="I54" s="86">
        <f t="shared" si="16"/>
        <v>2.9878469455014278E-3</v>
      </c>
      <c r="J54" s="86">
        <f t="shared" si="16"/>
        <v>5.3846505382122039E-4</v>
      </c>
      <c r="K54" s="86">
        <f t="shared" si="16"/>
        <v>1.2632622498381783E-4</v>
      </c>
      <c r="L54" s="86">
        <f t="shared" si="16"/>
        <v>4.7250152208456976E-5</v>
      </c>
      <c r="M54" s="86">
        <f t="shared" si="16"/>
        <v>1.2473728767291126E-5</v>
      </c>
      <c r="N54" s="86">
        <f t="shared" si="16"/>
        <v>1.0907504095836629E-5</v>
      </c>
    </row>
    <row r="55" spans="2:14" x14ac:dyDescent="0.25">
      <c r="E55" s="77" t="s">
        <v>12</v>
      </c>
      <c r="F55" s="83">
        <f t="shared" si="10"/>
        <v>-2.9112377262430083</v>
      </c>
      <c r="G55" s="86">
        <f>BIVAR(G$36,$F44,$H$32)</f>
        <v>1.8000673896001625E-3</v>
      </c>
      <c r="H55" s="86">
        <f t="shared" ref="H55:N55" si="17">BIVAR(H$36,$F44,$H$32)</f>
        <v>1.7999561558202212E-3</v>
      </c>
      <c r="I55" s="86">
        <f t="shared" si="17"/>
        <v>1.7933984821946675E-3</v>
      </c>
      <c r="J55" s="86">
        <f t="shared" si="17"/>
        <v>3.3735245032265299E-4</v>
      </c>
      <c r="K55" s="86">
        <f t="shared" si="17"/>
        <v>8.0747143361568823E-5</v>
      </c>
      <c r="L55" s="86">
        <f t="shared" si="17"/>
        <v>3.0537894441152501E-5</v>
      </c>
      <c r="M55" s="86">
        <f t="shared" si="17"/>
        <v>8.1674107836197035E-6</v>
      </c>
      <c r="N55" s="86">
        <f t="shared" si="17"/>
        <v>7.1505765814878048E-6</v>
      </c>
    </row>
    <row r="56" spans="2:14" x14ac:dyDescent="0.25">
      <c r="E56" s="87"/>
      <c r="F56" s="44"/>
      <c r="G56" s="90"/>
      <c r="H56" s="90"/>
      <c r="I56" s="90"/>
      <c r="J56" s="90"/>
      <c r="K56" s="90"/>
      <c r="L56" s="90"/>
      <c r="M56" s="90"/>
      <c r="N56" s="90"/>
    </row>
    <row r="57" spans="2:14" x14ac:dyDescent="0.25">
      <c r="E57" s="103" t="str">
        <f>E34</f>
        <v>Obligation 1-BBB</v>
      </c>
      <c r="F57" s="103"/>
      <c r="G57" s="105" t="str">
        <f>G34</f>
        <v>Obligation 2-A</v>
      </c>
      <c r="H57" s="106"/>
      <c r="I57" s="106"/>
      <c r="J57" s="106"/>
      <c r="K57" s="106"/>
      <c r="L57" s="106"/>
      <c r="M57" s="106"/>
      <c r="N57" s="106"/>
    </row>
    <row r="58" spans="2:14" x14ac:dyDescent="0.25">
      <c r="B58" t="s">
        <v>55</v>
      </c>
      <c r="E58" s="103"/>
      <c r="F58" s="103"/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4" t="s">
        <v>12</v>
      </c>
    </row>
    <row r="59" spans="2:14" x14ac:dyDescent="0.25">
      <c r="E59" s="103"/>
      <c r="F59" s="104"/>
      <c r="G59" s="78">
        <f>INDEX($K$21:$M$28,COLUMN(I35)-8,1)</f>
        <v>8.9999999999999998E-4</v>
      </c>
      <c r="H59" s="78">
        <f t="shared" ref="H59:N59" si="18">INDEX($K$21:$M$28,COLUMN(J35)-8,1)</f>
        <v>2.2700000000000001E-2</v>
      </c>
      <c r="I59" s="78">
        <f t="shared" si="18"/>
        <v>0.91049999999999998</v>
      </c>
      <c r="J59" s="78">
        <f t="shared" si="18"/>
        <v>5.5199999999999999E-2</v>
      </c>
      <c r="K59" s="78">
        <f t="shared" si="18"/>
        <v>7.4000000000000003E-3</v>
      </c>
      <c r="L59" s="78">
        <f t="shared" si="18"/>
        <v>2.5999999999999999E-3</v>
      </c>
      <c r="M59" s="78">
        <f t="shared" si="18"/>
        <v>1E-4</v>
      </c>
      <c r="N59" s="78">
        <f t="shared" si="18"/>
        <v>5.9999999999999995E-4</v>
      </c>
    </row>
    <row r="60" spans="2:14" x14ac:dyDescent="0.25">
      <c r="E60" s="75" t="s">
        <v>5</v>
      </c>
      <c r="F60" s="93">
        <f>F21</f>
        <v>2.0000000000000001E-4</v>
      </c>
      <c r="G60" s="91">
        <f>G48-SUM(G61:$N$67)-SUM(H60:$N60)</f>
        <v>1.5564826502112439E-6</v>
      </c>
      <c r="H60" s="91">
        <f>H48-SUM(H61:$N$67)-SUM(I60:$N60)</f>
        <v>1.9247078388739958E-5</v>
      </c>
      <c r="I60" s="91">
        <f>I48-SUM(I61:$N$67)-SUM(J60:$N60)</f>
        <v>1.7717404243206003E-4</v>
      </c>
      <c r="J60" s="91">
        <f>J48-SUM(J61:$N$67)-SUM(K60:$N60)</f>
        <v>1.8856378201509427E-6</v>
      </c>
      <c r="K60" s="91">
        <f>K48-SUM(K61:$N$67)-SUM(L60:$N60)</f>
        <v>3.2279053072939348E-7</v>
      </c>
      <c r="L60" s="91">
        <f>L48-SUM(L61:$N$67)-SUM(M60:$N$61)</f>
        <v>-1.5003350464055324E-7</v>
      </c>
      <c r="M60" s="91">
        <f>M48-SUM(M61:$M$67)-SUM(N60:$N$67)</f>
        <v>9.5053467831160421E-10</v>
      </c>
      <c r="N60" s="92">
        <f>N48-SUM(N61:N67)</f>
        <v>4.446165906583574E-9</v>
      </c>
    </row>
    <row r="61" spans="2:14" x14ac:dyDescent="0.25">
      <c r="E61" s="76" t="s">
        <v>6</v>
      </c>
      <c r="F61" s="93">
        <f t="shared" ref="F61:F67" si="19">F22</f>
        <v>3.3E-3</v>
      </c>
      <c r="G61" s="91">
        <f>G49-SUM(G62:$N$67)-SUM(H61:$N61)</f>
        <v>1.6066867605912805E-5</v>
      </c>
      <c r="H61" s="91">
        <f>H49-SUM(H62:$N$67)-SUM(I61:$N61)</f>
        <v>2.3883809962454983E-4</v>
      </c>
      <c r="I61" s="91">
        <f>I49-SUM(I62:$N$67)-SUM(J61:$N61)</f>
        <v>2.9918809449428901E-3</v>
      </c>
      <c r="J61" s="91">
        <f>J49-SUM(J62:$N$67)-SUM(K61:$N61)</f>
        <v>4.8003374557847867E-5</v>
      </c>
      <c r="K61" s="91">
        <f>K49-SUM(K62:$N$67)-SUM(L61:$N61)</f>
        <v>4.004708491761079E-6</v>
      </c>
      <c r="L61" s="91">
        <f>L49-SUM(L62:$N$67)-SUM(M61:$N$61)</f>
        <v>1.0302757641195018E-6</v>
      </c>
      <c r="M61" s="91">
        <f>M49-SUM(M62:$M$67)-SUM(N61:$N$67)</f>
        <v>3.1163986440583581E-8</v>
      </c>
      <c r="N61" s="91">
        <f>N49-SUM(N62:N67)</f>
        <v>1.5216605436601215E-7</v>
      </c>
    </row>
    <row r="62" spans="2:14" x14ac:dyDescent="0.25">
      <c r="E62" s="76" t="s">
        <v>7</v>
      </c>
      <c r="F62" s="93">
        <f t="shared" si="19"/>
        <v>5.9500000000000004E-2</v>
      </c>
      <c r="G62" s="91">
        <f>G50-SUM(G63:$N$67)-SUM(H62:$N62)</f>
        <v>1.5470445824861123E-4</v>
      </c>
      <c r="H62" s="91">
        <f>H50-SUM(H63:$N$67)-SUM(I62:$N62)</f>
        <v>2.8833488011429376E-3</v>
      </c>
      <c r="I62" s="91">
        <f>I50-SUM(I63:$N$67)-SUM(J62:$N62)</f>
        <v>5.4843017190376972E-2</v>
      </c>
      <c r="J62" s="91">
        <f>J50-SUM(J63:$N$67)-SUM(K62:$N62)</f>
        <v>1.4321682991043916E-3</v>
      </c>
      <c r="K62" s="91">
        <f>K50-SUM(K63:$N$67)-SUM(L62:$N62)</f>
        <v>1.3931413729556053E-4</v>
      </c>
      <c r="L62" s="91">
        <f>L50-SUM(L63:N67)-SUM(M62:N62)</f>
        <v>3.947854968799013E-5</v>
      </c>
      <c r="M62" s="91">
        <f>SUM(M50)-SUM(M63:M67)-SUM(N62:N67)</f>
        <v>1.2862030458328337E-6</v>
      </c>
      <c r="N62" s="91">
        <f>SUM(N50)-SUM(N63:N67)</f>
        <v>6.6552179561892803E-6</v>
      </c>
    </row>
    <row r="63" spans="2:14" x14ac:dyDescent="0.25">
      <c r="E63" s="76" t="s">
        <v>8</v>
      </c>
      <c r="F63" s="93">
        <f t="shared" si="19"/>
        <v>0.86930000000000007</v>
      </c>
      <c r="G63" s="91">
        <f>G51-SUM(G64:$N$67)-SUM(H63:$N63)</f>
        <v>7.157786057258031E-4</v>
      </c>
      <c r="H63" s="91">
        <f>H51-SUM(H64:$N$67)-SUM(I63:$N63)</f>
        <v>1.9035493913428847E-2</v>
      </c>
      <c r="I63" s="91">
        <f>I51-SUM(I64:$N$67)-SUM(J63:$N63)</f>
        <v>0.79392354825528932</v>
      </c>
      <c r="J63" s="91">
        <f>J51-SUM(J64:$N$67)-SUM(K63:$N63)</f>
        <v>4.6855913713379389E-2</v>
      </c>
      <c r="K63" s="91">
        <f>K51-SUM(K64:$N$67)-SUM(L63:$N63)</f>
        <v>6.1174651742865911E-3</v>
      </c>
      <c r="L63" s="91">
        <f>L51-SUM(L64:N67)-SUM(M63:N63)</f>
        <v>2.1037998159283682E-3</v>
      </c>
      <c r="M63" s="91">
        <f>M51-SUM(M64:M67)-SUM(N63:N67)</f>
        <v>7.9500115275385084E-5</v>
      </c>
      <c r="N63" s="91">
        <f>N51-SUM(N64:N67)</f>
        <v>4.6844585382999461E-4</v>
      </c>
    </row>
    <row r="64" spans="2:14" x14ac:dyDescent="0.25">
      <c r="E64" s="76" t="s">
        <v>9</v>
      </c>
      <c r="F64" s="93">
        <f t="shared" si="19"/>
        <v>5.2999999999999999E-2</v>
      </c>
      <c r="G64" s="91">
        <f>G52-SUM(G65:$N$67)-SUM(H64:$N64)</f>
        <v>1.0367350012759069E-5</v>
      </c>
      <c r="H64" s="91">
        <f>H52-SUM(H65:$N$67)-SUM(I64:$N64)</f>
        <v>4.4264271649382264E-4</v>
      </c>
      <c r="I64" s="91">
        <f>I52-SUM(I65:$N$67)-SUM(J64:$N64)</f>
        <v>4.620640079457608E-2</v>
      </c>
      <c r="J64" s="91">
        <f>J52-SUM(J65:$N$67)-SUM(K64:$N64)</f>
        <v>5.0968837965432688E-3</v>
      </c>
      <c r="K64" s="91">
        <f>K52-SUM(K65:$N$67)-SUM(L64:$N64)</f>
        <v>8.2236649697238267E-4</v>
      </c>
      <c r="L64" s="91">
        <f>L52-SUM(L65:N67)-SUM(M64:N64)</f>
        <v>3.2243859325937899E-4</v>
      </c>
      <c r="M64" s="91">
        <f>M52-SUM(M65:M67)-SUM(N64:N67)</f>
        <v>1.3370751623360816E-5</v>
      </c>
      <c r="N64" s="91">
        <f>N52-SUM(N65:N67)</f>
        <v>8.5613819587691559E-5</v>
      </c>
    </row>
    <row r="65" spans="5:14" x14ac:dyDescent="0.25">
      <c r="E65" s="76" t="s">
        <v>10</v>
      </c>
      <c r="F65" s="93">
        <f t="shared" si="19"/>
        <v>1.1699999999999999E-2</v>
      </c>
      <c r="G65" s="91">
        <f>G53-SUM(G66:$N$67)-SUM(H65:$N65)</f>
        <v>1.3828297986025195E-6</v>
      </c>
      <c r="H65" s="91">
        <f>H53-SUM(H66:$N$67)-SUM(I65:$N65)</f>
        <v>6.82955025924116E-5</v>
      </c>
      <c r="I65" s="91">
        <f>I53-SUM(I66:$N$67)-SUM(J65:$N65)</f>
        <v>9.9086371799963404E-3</v>
      </c>
      <c r="J65" s="91">
        <f>J53-SUM(J66:$N$67)-SUM(K65:$N65)</f>
        <v>1.3530633034752773E-3</v>
      </c>
      <c r="K65" s="91">
        <f>K53-SUM(K66:$N$67)-SUM(L65:$N65)</f>
        <v>2.3755415074071143E-4</v>
      </c>
      <c r="L65" s="91">
        <f>L53-SUM(L66:$N$67)-SUM(M65:$N65)</f>
        <v>9.8430140568009304E-5</v>
      </c>
      <c r="M65" s="91">
        <f>M53-SUM(M66:M67)-SUM(N65:N67)</f>
        <v>4.2469159029977856E-6</v>
      </c>
      <c r="N65" s="91">
        <f>N53-SUM(N66:N67)</f>
        <v>2.8283106218877647E-5</v>
      </c>
    </row>
    <row r="66" spans="5:14" x14ac:dyDescent="0.25">
      <c r="E66" s="76" t="s">
        <v>11</v>
      </c>
      <c r="F66" s="93">
        <f t="shared" si="19"/>
        <v>1.1999999999999999E-3</v>
      </c>
      <c r="G66" s="91">
        <f>G54-SUM(G67:$N$67)-SUM(H66:$N$66)</f>
        <v>9.9607322103130447E-8</v>
      </c>
      <c r="H66" s="91">
        <f>H54-SUM(H67:$N$67)-SUM(I66:$N$66)</f>
        <v>5.4397913611019602E-6</v>
      </c>
      <c r="I66" s="91">
        <f>I54-SUM(I67:$N$67)-SUM(J66:$N$66)</f>
        <v>9.933358598081931E-4</v>
      </c>
      <c r="J66" s="91">
        <f>J54-SUM(J67:$N$67)-SUM(K66:$N$66)</f>
        <v>1.5553352187631835E-4</v>
      </c>
      <c r="K66" s="91">
        <f>K54-SUM(K67:$N$67)-SUM(L66:$N$66)</f>
        <v>2.8866823854944529E-5</v>
      </c>
      <c r="L66" s="91">
        <f>L54-SUM(L67:N67)-SUM(M66:N66)</f>
        <v>1.2405939783633052E-5</v>
      </c>
      <c r="M66" s="91">
        <f>M54-SUM(M67,N67,N66)</f>
        <v>5.4939046932259867E-7</v>
      </c>
      <c r="N66" s="91">
        <f>N54-N67</f>
        <v>3.7569275143488243E-6</v>
      </c>
    </row>
    <row r="67" spans="5:14" x14ac:dyDescent="0.25">
      <c r="E67" s="77" t="s">
        <v>12</v>
      </c>
      <c r="F67" s="93">
        <f t="shared" si="19"/>
        <v>1.8E-3</v>
      </c>
      <c r="G67" s="91">
        <f>G55-SUM(H67:$N$67)</f>
        <v>1.1123377994127354E-7</v>
      </c>
      <c r="H67" s="91">
        <f>H55-SUM(I67:$N$67)</f>
        <v>6.557673625553909E-6</v>
      </c>
      <c r="I67" s="91">
        <f>I55-SUM(J67:$N$67)</f>
        <v>1.4560460318720145E-3</v>
      </c>
      <c r="J67" s="91">
        <f>J55-SUM(K67:$N$67)</f>
        <v>2.5660530696108418E-4</v>
      </c>
      <c r="K67" s="91">
        <f>K55-SUM(L67:$N$67)</f>
        <v>5.0209248920416323E-5</v>
      </c>
      <c r="L67" s="91">
        <f>L55-SUM(M67:N67)</f>
        <v>2.2370483657532797E-5</v>
      </c>
      <c r="M67" s="91">
        <f>M55-N67</f>
        <v>1.0168342021318986E-6</v>
      </c>
      <c r="N67" s="91">
        <f>N55</f>
        <v>7.1505765814878048E-6</v>
      </c>
    </row>
    <row r="68" spans="5:14" x14ac:dyDescent="0.25">
      <c r="G68" s="89"/>
      <c r="H68" s="89"/>
    </row>
    <row r="70" spans="5:14" ht="15.75" x14ac:dyDescent="0.25">
      <c r="E70" s="94" t="s">
        <v>48</v>
      </c>
    </row>
    <row r="72" spans="5:14" x14ac:dyDescent="0.25">
      <c r="E72" s="103" t="str">
        <f>E34</f>
        <v>Obligation 1-BBB</v>
      </c>
      <c r="F72" s="103"/>
      <c r="G72" s="105" t="str">
        <f>G57</f>
        <v>Obligation 2-A</v>
      </c>
      <c r="H72" s="106"/>
      <c r="I72" s="106"/>
      <c r="J72" s="106"/>
      <c r="K72" s="106"/>
      <c r="L72" s="106"/>
      <c r="M72" s="106"/>
      <c r="N72" s="106"/>
    </row>
    <row r="73" spans="5:14" x14ac:dyDescent="0.25">
      <c r="E73" s="103"/>
      <c r="F73" s="103"/>
      <c r="G73" s="73" t="s">
        <v>5</v>
      </c>
      <c r="H73" s="73" t="s">
        <v>6</v>
      </c>
      <c r="I73" s="73" t="s">
        <v>7</v>
      </c>
      <c r="J73" s="73" t="s">
        <v>8</v>
      </c>
      <c r="K73" s="73" t="s">
        <v>9</v>
      </c>
      <c r="L73" s="73" t="s">
        <v>10</v>
      </c>
      <c r="M73" s="73" t="s">
        <v>11</v>
      </c>
      <c r="N73" s="74" t="s">
        <v>12</v>
      </c>
    </row>
    <row r="74" spans="5:14" x14ac:dyDescent="0.25">
      <c r="E74" s="103"/>
      <c r="F74" s="104"/>
      <c r="G74" s="95">
        <f>Q23</f>
        <v>104.77662783485506</v>
      </c>
      <c r="H74" s="95">
        <f t="shared" ref="H74:N74" si="20">R23</f>
        <v>104.60024229590204</v>
      </c>
      <c r="I74" s="95">
        <f t="shared" si="20"/>
        <v>104.08164822857877</v>
      </c>
      <c r="J74" s="95">
        <f t="shared" si="20"/>
        <v>102.99662440776909</v>
      </c>
      <c r="K74" s="95">
        <f t="shared" si="20"/>
        <v>97.592709496704344</v>
      </c>
      <c r="L74" s="95">
        <f t="shared" si="20"/>
        <v>93.755635867512581</v>
      </c>
      <c r="M74" s="95">
        <f t="shared" si="20"/>
        <v>79.724126220314034</v>
      </c>
      <c r="N74" s="95">
        <f t="shared" si="20"/>
        <v>53.800000000000004</v>
      </c>
    </row>
    <row r="75" spans="5:14" x14ac:dyDescent="0.25">
      <c r="E75" s="75" t="s">
        <v>5</v>
      </c>
      <c r="F75" s="83">
        <f>'1_Portefeuille'!F34</f>
        <v>109.35290799817747</v>
      </c>
      <c r="G75" s="97">
        <f>G$74+$F75</f>
        <v>214.12953583303255</v>
      </c>
      <c r="H75" s="97">
        <f t="shared" ref="H75:N82" si="21">H$74+$F75</f>
        <v>213.95315029407951</v>
      </c>
      <c r="I75" s="97">
        <f t="shared" si="21"/>
        <v>213.43455622675623</v>
      </c>
      <c r="J75" s="97">
        <f t="shared" si="21"/>
        <v>212.34953240594655</v>
      </c>
      <c r="K75" s="97">
        <f t="shared" si="21"/>
        <v>206.94561749488182</v>
      </c>
      <c r="L75" s="97">
        <f t="shared" si="21"/>
        <v>203.10854386569005</v>
      </c>
      <c r="M75" s="97">
        <f t="shared" si="21"/>
        <v>189.07703421849152</v>
      </c>
      <c r="N75" s="97">
        <f t="shared" si="21"/>
        <v>163.15290799817748</v>
      </c>
    </row>
    <row r="76" spans="5:14" x14ac:dyDescent="0.25">
      <c r="E76" s="76" t="s">
        <v>6</v>
      </c>
      <c r="F76" s="83">
        <f>'1_Portefeuille'!G34</f>
        <v>109.17237089806929</v>
      </c>
      <c r="G76" s="97">
        <f t="shared" ref="G76:G82" si="22">G$74+$F76</f>
        <v>213.94899873292434</v>
      </c>
      <c r="H76" s="97">
        <f t="shared" si="21"/>
        <v>213.77261319397132</v>
      </c>
      <c r="I76" s="97">
        <f t="shared" si="21"/>
        <v>213.25401912664807</v>
      </c>
      <c r="J76" s="97">
        <f t="shared" si="21"/>
        <v>212.16899530583839</v>
      </c>
      <c r="K76" s="97">
        <f t="shared" si="21"/>
        <v>206.76508039477363</v>
      </c>
      <c r="L76" s="97">
        <f t="shared" si="21"/>
        <v>202.92800676558187</v>
      </c>
      <c r="M76" s="97">
        <f t="shared" si="21"/>
        <v>188.89649711838331</v>
      </c>
      <c r="N76" s="97">
        <f t="shared" si="21"/>
        <v>162.9723708980693</v>
      </c>
    </row>
    <row r="77" spans="5:14" x14ac:dyDescent="0.25">
      <c r="E77" s="76" t="s">
        <v>7</v>
      </c>
      <c r="F77" s="83">
        <f>'1_Portefeuille'!H34</f>
        <v>108.64299209354374</v>
      </c>
      <c r="G77" s="97">
        <f t="shared" si="22"/>
        <v>213.41961992839879</v>
      </c>
      <c r="H77" s="97">
        <f t="shared" si="21"/>
        <v>213.24323438944577</v>
      </c>
      <c r="I77" s="97">
        <f t="shared" si="21"/>
        <v>212.72464032212253</v>
      </c>
      <c r="J77" s="97">
        <f t="shared" si="21"/>
        <v>211.63961650131284</v>
      </c>
      <c r="K77" s="97">
        <f t="shared" si="21"/>
        <v>206.23570159024808</v>
      </c>
      <c r="L77" s="97">
        <f t="shared" si="21"/>
        <v>202.39862796105632</v>
      </c>
      <c r="M77" s="97">
        <f t="shared" si="21"/>
        <v>188.36711831385776</v>
      </c>
      <c r="N77" s="97">
        <f t="shared" si="21"/>
        <v>162.44299209354375</v>
      </c>
    </row>
    <row r="78" spans="5:14" x14ac:dyDescent="0.25">
      <c r="E78" s="76" t="s">
        <v>8</v>
      </c>
      <c r="F78" s="83">
        <f>'1_Portefeuille'!I34</f>
        <v>107.53094386580608</v>
      </c>
      <c r="G78" s="97">
        <f t="shared" si="22"/>
        <v>212.30757170066113</v>
      </c>
      <c r="H78" s="97">
        <f t="shared" si="21"/>
        <v>212.13118616170811</v>
      </c>
      <c r="I78" s="97">
        <f t="shared" si="21"/>
        <v>211.61259209438487</v>
      </c>
      <c r="J78" s="97">
        <f t="shared" si="21"/>
        <v>210.52756827357518</v>
      </c>
      <c r="K78" s="97">
        <f t="shared" si="21"/>
        <v>205.12365336251042</v>
      </c>
      <c r="L78" s="97">
        <f t="shared" si="21"/>
        <v>201.28657973331866</v>
      </c>
      <c r="M78" s="97">
        <f t="shared" si="21"/>
        <v>187.2550700861201</v>
      </c>
      <c r="N78" s="97">
        <f t="shared" si="21"/>
        <v>161.33094386580609</v>
      </c>
    </row>
    <row r="79" spans="5:14" x14ac:dyDescent="0.25">
      <c r="E79" s="76" t="s">
        <v>9</v>
      </c>
      <c r="F79" s="83">
        <f>'1_Portefeuille'!J34</f>
        <v>102.00638552436996</v>
      </c>
      <c r="G79" s="97">
        <f t="shared" si="22"/>
        <v>206.78301335922504</v>
      </c>
      <c r="H79" s="97">
        <f t="shared" si="21"/>
        <v>206.606627820272</v>
      </c>
      <c r="I79" s="97">
        <f t="shared" si="21"/>
        <v>206.08803375294872</v>
      </c>
      <c r="J79" s="97">
        <f t="shared" si="21"/>
        <v>205.00300993213904</v>
      </c>
      <c r="K79" s="97">
        <f t="shared" si="21"/>
        <v>199.59909502107431</v>
      </c>
      <c r="L79" s="97">
        <f t="shared" si="21"/>
        <v>195.76202139188254</v>
      </c>
      <c r="M79" s="97">
        <f t="shared" si="21"/>
        <v>181.73051174468401</v>
      </c>
      <c r="N79" s="97">
        <f t="shared" si="21"/>
        <v>155.80638552436997</v>
      </c>
    </row>
    <row r="80" spans="5:14" x14ac:dyDescent="0.25">
      <c r="E80" s="76" t="s">
        <v>10</v>
      </c>
      <c r="F80" s="83">
        <f>'1_Portefeuille'!K34</f>
        <v>98.085913180675092</v>
      </c>
      <c r="G80" s="97">
        <f t="shared" si="22"/>
        <v>202.86254101553016</v>
      </c>
      <c r="H80" s="97">
        <f t="shared" si="21"/>
        <v>202.68615547657714</v>
      </c>
      <c r="I80" s="97">
        <f t="shared" si="21"/>
        <v>202.16756140925386</v>
      </c>
      <c r="J80" s="97">
        <f t="shared" si="21"/>
        <v>201.08253758844418</v>
      </c>
      <c r="K80" s="97">
        <f t="shared" si="21"/>
        <v>195.67862267737945</v>
      </c>
      <c r="L80" s="97">
        <f t="shared" si="21"/>
        <v>191.84154904818769</v>
      </c>
      <c r="M80" s="97">
        <f t="shared" si="21"/>
        <v>177.81003940098913</v>
      </c>
      <c r="N80" s="97">
        <f t="shared" si="21"/>
        <v>151.88591318067509</v>
      </c>
    </row>
    <row r="81" spans="5:14" x14ac:dyDescent="0.25">
      <c r="E81" s="76" t="s">
        <v>11</v>
      </c>
      <c r="F81" s="83">
        <f>'1_Portefeuille'!L34</f>
        <v>83.625791197223762</v>
      </c>
      <c r="G81" s="97">
        <f t="shared" si="22"/>
        <v>188.40241903207883</v>
      </c>
      <c r="H81" s="97">
        <f t="shared" si="21"/>
        <v>188.22603349312578</v>
      </c>
      <c r="I81" s="97">
        <f t="shared" si="21"/>
        <v>187.70743942580253</v>
      </c>
      <c r="J81" s="97">
        <f t="shared" si="21"/>
        <v>186.62241560499285</v>
      </c>
      <c r="K81" s="97">
        <f t="shared" si="21"/>
        <v>181.21850069392809</v>
      </c>
      <c r="L81" s="97">
        <f t="shared" si="21"/>
        <v>177.38142706473633</v>
      </c>
      <c r="M81" s="97">
        <f t="shared" si="21"/>
        <v>163.3499174175378</v>
      </c>
      <c r="N81" s="97">
        <f t="shared" si="21"/>
        <v>137.42579119722376</v>
      </c>
    </row>
    <row r="82" spans="5:14" x14ac:dyDescent="0.25">
      <c r="E82" s="77" t="s">
        <v>12</v>
      </c>
      <c r="F82" s="83">
        <f>'1_Portefeuille'!M34</f>
        <v>51.129999999999995</v>
      </c>
      <c r="G82" s="97">
        <f t="shared" si="22"/>
        <v>155.90662783485504</v>
      </c>
      <c r="H82" s="97">
        <f t="shared" si="21"/>
        <v>155.73024229590203</v>
      </c>
      <c r="I82" s="97">
        <f t="shared" si="21"/>
        <v>155.21164822857878</v>
      </c>
      <c r="J82" s="97">
        <f t="shared" si="21"/>
        <v>154.1266244077691</v>
      </c>
      <c r="K82" s="97">
        <f t="shared" si="21"/>
        <v>148.72270949670434</v>
      </c>
      <c r="L82" s="97">
        <f t="shared" si="21"/>
        <v>144.88563586751258</v>
      </c>
      <c r="M82" s="97">
        <f t="shared" si="21"/>
        <v>130.85412622031401</v>
      </c>
      <c r="N82" s="97">
        <f t="shared" si="21"/>
        <v>104.93</v>
      </c>
    </row>
    <row r="84" spans="5:14" ht="15.75" thickBot="1" x14ac:dyDescent="0.3"/>
    <row r="85" spans="5:14" ht="15.75" thickBot="1" x14ac:dyDescent="0.3">
      <c r="E85" s="100" t="s">
        <v>50</v>
      </c>
      <c r="F85" s="99">
        <f>SUM(G85:N85)</f>
        <v>210.99605264449181</v>
      </c>
      <c r="G85" s="98">
        <f>SUMPRODUCT(G60:G67,G75:G82)</f>
        <v>0.19121338806895319</v>
      </c>
      <c r="H85" s="98">
        <f t="shared" ref="H85:N85" si="23">SUMPRODUCT(H60:H67,H75:H82)</f>
        <v>4.8153921552948624</v>
      </c>
      <c r="I85" s="98">
        <f t="shared" si="23"/>
        <v>192.2847699138168</v>
      </c>
      <c r="J85" s="98">
        <f t="shared" si="23"/>
        <v>11.563680038436114</v>
      </c>
      <c r="K85" s="98">
        <f t="shared" si="23"/>
        <v>1.5077895243527453</v>
      </c>
      <c r="L85" s="98">
        <f t="shared" si="23"/>
        <v>0.51908163888621561</v>
      </c>
      <c r="M85" s="98">
        <f t="shared" si="23"/>
        <v>1.8542962169003543E-2</v>
      </c>
      <c r="N85" s="60">
        <f t="shared" si="23"/>
        <v>9.5583023467161368E-2</v>
      </c>
    </row>
    <row r="86" spans="5:14" ht="15.75" thickBot="1" x14ac:dyDescent="0.3"/>
    <row r="87" spans="5:14" ht="15.75" thickBot="1" x14ac:dyDescent="0.3">
      <c r="E87" s="100" t="s">
        <v>51</v>
      </c>
      <c r="F87" s="99">
        <f>SUM(G87:N87)</f>
        <v>11.488950665143864</v>
      </c>
      <c r="G87" s="101">
        <f>G60*((G75-$F$85)^2)+G61*((G76-$F$85)^2)+G62*((G77-$F$85)^2)+G63*((G78-$F$85)^2)+G64*((G79-$F$85)^2)+G65*((G80-$F$85)^2)+G66*((G81-$F$85)^2)+G67*((G82-$F$85)^2)</f>
        <v>2.9591874038475577E-3</v>
      </c>
      <c r="H87" s="98">
        <f t="shared" ref="H87:N87" si="24">H60*((H75-$F$85)^2)+H61*((H76-$F$85)^2)+H62*((H77-$F$85)^2)+H63*((H78-$F$85)^2)+H64*((H79-$F$85)^2)+H65*((H80-$F$85)^2)+H66*((H81-$F$85)^2)+H67*((H82-$F$85)^2)</f>
        <v>7.719183420376427E-2</v>
      </c>
      <c r="I87" s="98">
        <f t="shared" si="24"/>
        <v>7.4371318870682259</v>
      </c>
      <c r="J87" s="98">
        <f t="shared" si="24"/>
        <v>1.2492789351963132</v>
      </c>
      <c r="K87" s="98">
        <f t="shared" si="24"/>
        <v>0.59705495882823589</v>
      </c>
      <c r="L87" s="98">
        <f t="shared" si="24"/>
        <v>0.42404300061122391</v>
      </c>
      <c r="M87" s="98">
        <f t="shared" si="24"/>
        <v>6.9390190237739471E-2</v>
      </c>
      <c r="N87" s="60">
        <f t="shared" si="24"/>
        <v>1.6319006715945148</v>
      </c>
    </row>
    <row r="88" spans="5:14" ht="15.75" thickBot="1" x14ac:dyDescent="0.3"/>
    <row r="89" spans="5:14" ht="19.5" thickBot="1" x14ac:dyDescent="0.35">
      <c r="E89" s="100" t="s">
        <v>52</v>
      </c>
      <c r="F89" s="99">
        <f>F87^0.5</f>
        <v>3.3895354645059941</v>
      </c>
      <c r="H89" s="54" t="s">
        <v>36</v>
      </c>
      <c r="I89" s="53">
        <v>0.05</v>
      </c>
      <c r="K89" s="52" t="s">
        <v>37</v>
      </c>
      <c r="L89" s="102">
        <f>_xlfn.NORM.INV(1-I89,0,1)*F89</f>
        <v>5.5752897024733254</v>
      </c>
    </row>
  </sheetData>
  <mergeCells count="7">
    <mergeCell ref="E72:F74"/>
    <mergeCell ref="G72:N72"/>
    <mergeCell ref="E34:F36"/>
    <mergeCell ref="G34:N34"/>
    <mergeCell ref="G47:N47"/>
    <mergeCell ref="G57:N57"/>
    <mergeCell ref="E57:F59"/>
  </mergeCells>
  <conditionalFormatting sqref="B9:B12">
    <cfRule type="expression" dxfId="17" priority="16">
      <formula>ISBLANK(B9)</formula>
    </cfRule>
  </conditionalFormatting>
  <conditionalFormatting sqref="B9:B12">
    <cfRule type="expression" dxfId="16" priority="17">
      <formula>AND($G$4="Team",OR($E9=$L$4,$K9=$L$4))</formula>
    </cfRule>
    <cfRule type="expression" dxfId="15" priority="18">
      <formula>AND($G$4="Group",$D9=$J$4)</formula>
    </cfRule>
  </conditionalFormatting>
  <conditionalFormatting sqref="B13">
    <cfRule type="expression" dxfId="14" priority="13">
      <formula>ISBLANK(B13)</formula>
    </cfRule>
  </conditionalFormatting>
  <conditionalFormatting sqref="B13">
    <cfRule type="expression" dxfId="13" priority="14">
      <formula>AND($G$4="Team",OR($E13=$L$4,$K13=$L$4))</formula>
    </cfRule>
    <cfRule type="expression" dxfId="12" priority="15">
      <formula>AND($G$4="Group",$D13=$J$4)</formula>
    </cfRule>
  </conditionalFormatting>
  <conditionalFormatting sqref="C9:C12">
    <cfRule type="expression" dxfId="11" priority="10">
      <formula>ISBLANK(C9)</formula>
    </cfRule>
  </conditionalFormatting>
  <conditionalFormatting sqref="C9:C12">
    <cfRule type="expression" dxfId="10" priority="11">
      <formula>AND($G$4="Team",OR($E9=$L$4,$K9=$L$4))</formula>
    </cfRule>
    <cfRule type="expression" dxfId="9" priority="12">
      <formula>AND($G$4="Group",$D9=$J$4)</formula>
    </cfRule>
  </conditionalFormatting>
  <conditionalFormatting sqref="C13">
    <cfRule type="expression" dxfId="8" priority="7">
      <formula>ISBLANK(C13)</formula>
    </cfRule>
  </conditionalFormatting>
  <conditionalFormatting sqref="C13">
    <cfRule type="expression" dxfId="7" priority="8">
      <formula>AND($G$4="Team",OR($E13=$L$4,$K13=$L$4))</formula>
    </cfRule>
    <cfRule type="expression" dxfId="6" priority="9">
      <formula>AND($G$4="Group",$D13=$J$4)</formula>
    </cfRule>
  </conditionalFormatting>
  <conditionalFormatting sqref="H32">
    <cfRule type="expression" dxfId="5" priority="4">
      <formula>ISBLANK(H32)</formula>
    </cfRule>
  </conditionalFormatting>
  <conditionalFormatting sqref="H32">
    <cfRule type="expression" dxfId="4" priority="5">
      <formula>AND($H$4="Team",OR($F32=$M$4,$L32=$M$4))</formula>
    </cfRule>
    <cfRule type="expression" dxfId="3" priority="6">
      <formula>AND($H$4="Group",$E32=$K$4)</formula>
    </cfRule>
  </conditionalFormatting>
  <conditionalFormatting sqref="I89">
    <cfRule type="expression" dxfId="2" priority="1">
      <formula>ISBLANK(I89)</formula>
    </cfRule>
  </conditionalFormatting>
  <conditionalFormatting sqref="I89">
    <cfRule type="expression" dxfId="1" priority="2">
      <formula>AND($H$4="Team",OR($F89=$M$4,$L89=$M$4))</formula>
    </cfRule>
    <cfRule type="expression" dxfId="0" priority="3">
      <formula>AND($H$4="Group",$E89=$K$4)</formula>
    </cfRule>
  </conditionalFormatting>
  <dataValidations count="2">
    <dataValidation type="list" allowBlank="1" showInputMessage="1" showErrorMessage="1" sqref="B12">
      <formula1>$L$21:$L$25</formula1>
    </dataValidation>
    <dataValidation type="list" allowBlank="1" showInputMessage="1" showErrorMessage="1" sqref="B10:C10">
      <formula1>$E$12:$E$18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'1_Portefeuille'!$M$21:$M$25</xm:f>
          </x14:formula1>
          <xm:sqref>C12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1_Portefeuille</vt:lpstr>
      <vt:lpstr>2_Portefeuille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youssouf</dc:creator>
  <cp:lastModifiedBy>youssouf</cp:lastModifiedBy>
  <dcterms:created xsi:type="dcterms:W3CDTF">2020-01-03T09:19:08Z</dcterms:created>
  <dcterms:modified xsi:type="dcterms:W3CDTF">2020-03-14T10:55:35Z</dcterms:modified>
</cp:coreProperties>
</file>